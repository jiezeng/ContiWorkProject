
<file path=[Content_Types].xml><?xml version="1.0" encoding="utf-8"?>
<Types xmlns="http://schemas.openxmlformats.org/package/2006/content-types">
  <Default Extension="bin" ContentType="application/vnd.openxmlformats-officedocument.spreadsheetml.printerSettings"/>
  <Default Extension="png" ContentType="image/png"/>
  <Override PartName="/xl/tables/table3.xml" ContentType="application/vnd.openxmlformats-officedocument.spreadsheetml.table+xml"/>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tables/table2.xml" ContentType="application/vnd.openxmlformats-officedocument.spreadsheetml.table+xml"/>
  <Override PartName="/customXml/itemProps1.xml" ContentType="application/vnd.openxmlformats-officedocument.customXmlProperti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bookViews>
    <workbookView xWindow="0" yWindow="0" windowWidth="9270" windowHeight="5850" activeTab="1"/>
  </bookViews>
  <sheets>
    <sheet name="Sheet1" sheetId="8" r:id="rId1"/>
    <sheet name="To Do List" sheetId="7" r:id="rId2"/>
    <sheet name="Assignment Setup" sheetId="6" r:id="rId3"/>
    <sheet name="Follow Up action" sheetId="9" r:id="rId4"/>
  </sheets>
  <definedNames>
    <definedName name="Assignedto">tblColorKey[Assigned To]</definedName>
    <definedName name="Color1">'Assignment Setup'!$C$5</definedName>
    <definedName name="Color2">'Assignment Setup'!$C$6</definedName>
    <definedName name="Color3">'Assignment Setup'!$C$7</definedName>
    <definedName name="Color4">'Assignment Setup'!$C$8</definedName>
    <definedName name="Color5">'Assignment Setup'!$C$9</definedName>
    <definedName name="Color6">'Assignment Setup'!$C$10</definedName>
    <definedName name="ColorKey">tblColorKey[Assigned To]</definedName>
    <definedName name="DueToday">'To Do List'!$C$3</definedName>
    <definedName name="Grid" localSheetId="1">tblToDoList[[#All],[Description]:[Assigned to]]</definedName>
    <definedName name="_xlnm.Print_Titles" localSheetId="1">'To Do List'!$1:$5</definedName>
    <definedName name="Priority">tblPriority[Priority]</definedName>
  </definedNames>
  <calcPr calcId="125725"/>
</workbook>
</file>

<file path=xl/calcChain.xml><?xml version="1.0" encoding="utf-8"?>
<calcChain xmlns="http://schemas.openxmlformats.org/spreadsheetml/2006/main">
  <c r="C4" i="7"/>
  <c r="C3" l="1"/>
  <c r="B2" l="1"/>
</calcChain>
</file>

<file path=xl/sharedStrings.xml><?xml version="1.0" encoding="utf-8"?>
<sst xmlns="http://schemas.openxmlformats.org/spreadsheetml/2006/main" count="2138" uniqueCount="779">
  <si>
    <t xml:space="preserve">                            </t>
  </si>
  <si>
    <t>Description</t>
  </si>
  <si>
    <t>Done</t>
  </si>
  <si>
    <t>Due Date</t>
  </si>
  <si>
    <t>Priority</t>
  </si>
  <si>
    <t>Assignment Setup</t>
  </si>
  <si>
    <t>Assigned To</t>
  </si>
  <si>
    <t>Assigned to</t>
  </si>
  <si>
    <t>Due Today:</t>
  </si>
  <si>
    <t>Overdue:</t>
  </si>
  <si>
    <t>The data in the table below supplies the available choices for the Assigned To field. You can modify the entries or add new entries to customize this workbook to fit your needs.</t>
  </si>
  <si>
    <t xml:space="preserve"> TO DO LIST</t>
  </si>
  <si>
    <t>Notes</t>
  </si>
  <si>
    <t>Zengj</t>
  </si>
  <si>
    <t>Yin Haichen</t>
  </si>
  <si>
    <t>Luo Shaobo</t>
  </si>
  <si>
    <t>Huang Kai</t>
  </si>
  <si>
    <t>Zhou Mengting</t>
  </si>
  <si>
    <t>Liu Chenliang</t>
  </si>
  <si>
    <t>Zeng Zhi</t>
  </si>
  <si>
    <t>89860113045400700548</t>
  </si>
  <si>
    <t>Aboo</t>
  </si>
  <si>
    <t>By Mar 26</t>
  </si>
  <si>
    <t>CANoe, Speaker, Microphone</t>
  </si>
  <si>
    <t>01 High</t>
  </si>
  <si>
    <t>02 Medium</t>
  </si>
  <si>
    <t>03 Low</t>
  </si>
  <si>
    <t xml:space="preserve">#150,#171.#182
Car Icon, Bubble icon
</t>
  </si>
  <si>
    <t>00 Long Term</t>
  </si>
  <si>
    <t>Check CS/CM for ISAI team</t>
  </si>
  <si>
    <t>Assign huangkai to fix PR#296 and update plan</t>
  </si>
  <si>
    <t>Request Chenyu&amp;Chenliang to provide weekly report</t>
  </si>
  <si>
    <t>Check with iFlyTek how much effort to use new interface to get coordinate data</t>
  </si>
  <si>
    <t>iFlyTek</t>
  </si>
  <si>
    <t>AutoNavi</t>
  </si>
  <si>
    <t>Li Yanli</t>
  </si>
  <si>
    <t>Request Haibin to agree to defer PR</t>
  </si>
  <si>
    <t>Fang Haibin</t>
  </si>
  <si>
    <t>Check with AN for server issue
[3/24/2014]Submitted PR to track the issue</t>
  </si>
  <si>
    <t>Hou Yong</t>
  </si>
  <si>
    <t>Cai WenYI</t>
  </si>
  <si>
    <t>Request Yanli to submit PR for English
[3/24/2014]Not found in latest version, close it</t>
  </si>
  <si>
    <t xml:space="preserve">Update integration plan for Huangkai DPCARSha#309 </t>
  </si>
  <si>
    <t>Check with Hou Yong about MAP
[3/24/2014]Hou Yong follows with AN</t>
  </si>
  <si>
    <t>Send manual doc for flash target to COC team</t>
  </si>
  <si>
    <t>Daniel</t>
  </si>
  <si>
    <t>Check No 3D for 东方明珠、金茂大厦
[3/26/2014]Map data issue, use new data has no such problem.</t>
  </si>
  <si>
    <t>Check which zoom scale will show 2D in 3D map
[3/26/2014]200m has no 3D view</t>
  </si>
  <si>
    <t xml:space="preserve">Feedback to Justin </t>
  </si>
  <si>
    <t>FSL</t>
  </si>
  <si>
    <t>Check RCS feature ramp concerned by Cai wenyi</t>
  </si>
  <si>
    <t>He Yongjian</t>
  </si>
  <si>
    <t>Check ATB fee for AN
[3/26/2014]Allen sent an link to check the No.
[3/26/2014]Sent mail to Allen to check, waiting feedback
[3/24/2014]Unicom can't find mapped phone No.</t>
  </si>
  <si>
    <t>Check with XinZhiPeng for CANoe/CANcase issue</t>
  </si>
  <si>
    <t>XinZhiPeng</t>
  </si>
  <si>
    <t>Ren Guanjie</t>
  </si>
  <si>
    <t>Discuss with iFlyTek about feasibility study result for new interface to get cooridate
[3/26/2014]
1.Server side can support using AN's interface to get cooridate information.
2. Interface between client and server side should be check again.
3. Can provide demo on Apr 1.
4. Previous project: with KaiLide, provide all data info to iFlyTek, and the POI search is performed in iFlytek database. A little different with solution with AN.</t>
  </si>
  <si>
    <t>Qin Shouruo</t>
  </si>
  <si>
    <t>Xu Jiaye</t>
  </si>
  <si>
    <t>Check with AN if they can support search by pinyin
[3/27/2014]Can't support pinyin..  Support first char like key words.
[3/24/2014]XiYang to verify if it supports pinyin</t>
  </si>
  <si>
    <t xml:space="preserve">Someplace the 2D/3D view is inconsistent 
for example, 50m is 2D, then 100m  3D, then 200m in 2D
[3/28/2014]Should not be issue. But from my experience it's strange, Created PR to follow it.
[3/26/2014]It would be caused by different view point. Move the map the 3D view of building would be showed again. Test again
</t>
  </si>
  <si>
    <t>Check with Ren Guanjie for #8516 result on D7.06
[3/28/2014]Reproduced on D7.06</t>
  </si>
  <si>
    <t>To provide feedback to MSFT for DPCARSha#223</t>
  </si>
  <si>
    <t>MSFT</t>
  </si>
  <si>
    <t>Zhang Fa</t>
  </si>
  <si>
    <t>Review SAD/MAD for cloud VDE</t>
  </si>
  <si>
    <t>Check wth iFlyTek about Demo on MRN
[4/1/2014]iFlyTek provided</t>
  </si>
  <si>
    <t>Boon Yeow</t>
  </si>
  <si>
    <t>Discuss with PSA for 3D Map performance</t>
  </si>
  <si>
    <t>Li Min</t>
  </si>
  <si>
    <t>Check with AN about dynamic recalculation performance
[4/2/2014]They have provided slides to Shouruo, can follow up on ccb meeting
[3/28/2014]AN to provide slides to explain dynamic recalculation
[3/25/2014]Xi Yang to check with product team the impact for normal guidance</t>
  </si>
  <si>
    <t>Zhang Chenxiao</t>
  </si>
  <si>
    <t>Request which API to config the URL of server.
[4/2/2014]Duplicated item, close this one</t>
  </si>
  <si>
    <t>Discuss with Shouruo/Haichen about MAD/DD for traceability
[4/2/2014]Have SAD and MAD, no DD. Code can directly map to requirement or MAD
[3/28/2014]MAD should include the sequence between speech platform and speech BL.</t>
  </si>
  <si>
    <t>Check with AN for PR DPextSgp#2222
[4/3/2014]Kevin to test with AN-BJ</t>
  </si>
  <si>
    <t>Request iFlyTek to provide spec for XML format
[4/3/2014]No need to use XML format</t>
  </si>
  <si>
    <t>Check with Zhang Fa for SCR#366,#272
[4/3/2014]#366 need liuchenliang to implement.</t>
  </si>
  <si>
    <t>Add SCR #130, #366 into weekly meeting action item
[4/3/2014]Added.</t>
  </si>
  <si>
    <t>Check with Chenxiao about solution for #8434
[4/3/2014]Shaobo to fix it.
[4/2/2014]No need request HMI team to involve, Shaobo can fix it. Check with Chenxiao for the solution
[3/26/2014]Sent mail to Anil, request to finalize the solution</t>
  </si>
  <si>
    <t>Check with AN for issue that network search result is less than local search result
[4/3/2014]Server issue reported to PSA, not followed by us</t>
  </si>
  <si>
    <t>Chen Yu</t>
  </si>
  <si>
    <t>Update schedule for Cloud VDE
[4/7/2014]Detail plan is updated 
[4/1/2014]Updated high level plan, need to update detail one</t>
  </si>
  <si>
    <t>Check with Jiaye about schedule of SCR need him to implement
[4/7/2014]SCR360 is updated on schedule</t>
  </si>
  <si>
    <t>Check the code for remote configuration retry strategy as requested by Wang Shengqiang
[4/7/2014]Yongjian to provide proposal to PSA. Another item is following, close this one.</t>
  </si>
  <si>
    <t>Check with AN for issue that can't select far distance point in 3D map
[4/7/2014]Should not be issue, close it</t>
  </si>
  <si>
    <t>NGE</t>
  </si>
  <si>
    <t>Check with Shaobo the detail of #8516 failure
[4/7/2014]Confirmed it's caused by change of #8490, sent mail to boon Yeow, another item is following, close this one
[4/2/2014]Sent mail to Boon Yeow, it's caused by change of #8490. Pending on his response to transfer</t>
  </si>
  <si>
    <t>Close Date</t>
  </si>
  <si>
    <t>HMI COC</t>
  </si>
  <si>
    <t>Cai Min</t>
  </si>
  <si>
    <t>Check with Zhang Fa why HMI is needed for SCR#366
[4/10/2014]No need to change on HMI side.</t>
  </si>
  <si>
    <t>Check performance for 3D refresh in car
[4/10/2014]In move mode, seems no impact to end user, try more test</t>
  </si>
  <si>
    <t xml:space="preserve">Check with Yongjian for stopping remote config session once received specific status response
[4/10/2014]To fix in C2.
[4/7/2014]Yongjian to provide proposal to PSA. </t>
  </si>
  <si>
    <t xml:space="preserve">If the issue #301 in B sample? The rist to integrated into C1
[4/7/2014]Yes, it has been in B sample.
</t>
  </si>
  <si>
    <t>Check with AN about the change between V7.7 and V7.8
[4/10/2014]Change is big
[4/7/2014]wang xiaoyun provided the release notes for v7.8.The change is not large, only fix 6PRs and improvement of the 3D frame refresh rate.</t>
  </si>
  <si>
    <t>Transfer PR#8516 to HMI team
[4/10/2014]Transferred
[4/3/2014]Pending on feedback of boon Yeow, check with him on wk15.2</t>
  </si>
  <si>
    <t>Check with Aboo about Audio path solution, and create CR
[4/10/2014]Added schedule
[4/8/2014]Plan to implement it by end of Apr. Add it to schedule
[4/7/2014]The feasibility study is finished. Chen yu to provide effort, then update the detail plan to add this task
[4/1/2014]Aboo provided ESAI source code, need to check with Zhang Fa when can provide the final solution
[3/28/2014]Aboo didn't started, esclated to Cai Min.
[3/26/2014]Sent mail to Zhang Fa, waiting feedback</t>
  </si>
  <si>
    <t>Check with Boon Yeow of the SCR#366 on TI side
And SCR#272
[4/10/2014]#366 plan to fix in D7.11</t>
  </si>
  <si>
    <t>Check with NGE for on site support
[4/13/2014]NGE confirmed the date.
[4/8/2014]Reschedule to wk1416.2
[4/3/2014]NGE get the tool, plan to support on wk15.5
[3/26/2014]Waiting NGE pick the device
[3/24/2014]License issue to pick device from custom, can start process until April 1
[3/24/2014]Sent mail to NGE, waiting response</t>
  </si>
  <si>
    <t>Confirm with PSA on AR meeting fo AN issues
[4/13/2014]Using bubble icon. It's OK for me.</t>
  </si>
  <si>
    <t>Check with Chenyu for the baseline of SCR#366 then reply to Aboo/BoonYeow
[4/13/2014]To fix in C1.D7.20</t>
  </si>
  <si>
    <t>To send invitation to COC team for workshop of CLOUDVDE</t>
  </si>
  <si>
    <t>Zhou Hongtao</t>
  </si>
  <si>
    <t>PR#386 to fix in VF, transfer PR from Aboo</t>
  </si>
  <si>
    <t>Check with iFlyTek the inteface between Client and Server to support detail info of POI
[4/15/2014]This should not need. Close it</t>
  </si>
  <si>
    <t>Check with Hongtao for PR#403 reproduce
[4/15/2014]No special action is performed when reset happened. Driver is driving the car ,listen the music. CAPSA tried to reproduce, but didn't find it.</t>
  </si>
  <si>
    <t>To request AN to check if there is other resource conflict which would be introduced by new feature
[4/15/2014]Has special check, no such issue</t>
  </si>
  <si>
    <t>Check with AN why no weekly report sent out
[4/15/2014]XiYang to sent weekly</t>
  </si>
  <si>
    <t>Check with Xiyang for interface query from Xinwang
[4/15/2014]Meeting between Xingwang, Xiyang. Xingwang to provide proposal, Xiyang to estimate effort</t>
  </si>
  <si>
    <t>Check with AN for the conflict check
[4/15/2014]Has special check, no such issue, to close after warboard meeting</t>
  </si>
  <si>
    <t>PSA</t>
  </si>
  <si>
    <t>Request SysT to reprocude DPCARSgp#8577</t>
  </si>
  <si>
    <t>Check with Hou Yong if has same issue as DPCARSgp#8577 before
[4/16/2014]No report same issue before.</t>
  </si>
  <si>
    <t>To update NAVI High level shedule</t>
  </si>
  <si>
    <t>to confirm DPCARSha#313
[4/16/2014]Fixed in v7.8</t>
  </si>
  <si>
    <t>PR#430 should transfer to AV team</t>
  </si>
  <si>
    <t>To check with Boon Yeow if there is 64bit version for Cloud VDE tool
[4/16/2014]</t>
  </si>
  <si>
    <t>degrade the severity to C for PR #425</t>
  </si>
  <si>
    <t>CANoe didn't support SCR#366, can't do test
[4/17/2014]Can using CANoe to send signal directly, told huangkai to check with Yanli if necessary</t>
  </si>
  <si>
    <t>To request PSA for detail of A94 issue
[4/17/2014]Cai Min request in the PR meeting.</t>
  </si>
  <si>
    <t>To check with AN for MAP 13Q4 if possible in Step3
[4/17/2014]Can provide by end of Jun
[4/16/2014]Possible in step3, but can't confirm the deadline. As pending on Beijing</t>
  </si>
  <si>
    <t>Push PR#8581 to test</t>
  </si>
  <si>
    <t>NAVI COC</t>
  </si>
  <si>
    <t>To push PR DPCARSha#400 to test</t>
  </si>
  <si>
    <t>DPCARSha#423, to check the root cause,
Step3 the experience is more bad than step2</t>
  </si>
  <si>
    <t>Check with AN the possibility of interface to dynamic display content
[4/18/2014]XiYang provide feedback to Xingwang, close it
[4/17/2014]XingWang provide query, Need AN estimate effort
[4/15/2014]Meeting discussed, Xingwang to provide proposal, Xiyang to estimate effort</t>
  </si>
  <si>
    <t>Request AN to provide test report for TPEG error handling
[4/18/2014]Provided test report, it's OK, close it
[4/16/2014]try to provide by today.
[4/15/2014]To provide test report by wk16.4</t>
  </si>
  <si>
    <t>To get evidence for resource confict checking
[4/18/2014]Has report in the release notes, close it</t>
  </si>
  <si>
    <t>Request AN to provide fix plan of #8564
[4/18/2014]Fixed in v7.6, push to test</t>
  </si>
  <si>
    <t>Forward mail DPCARSha#347 to Li Min
[4/18/2014]Done, pending on PSA's feedback</t>
  </si>
  <si>
    <t>Jimmy</t>
  </si>
  <si>
    <t>To defer PR#8578 and fix in D7.19
[4/18/2014]Delay to D7.20, assign shaobo to fix it</t>
  </si>
  <si>
    <t>Put test Result of TPEG error handling to release folder
{4/18/2014}Put on sharepoint:https://workspace5.conti.de/content/00014841/MRN/Forms/AllItems.aspx?RootFolder=%2fcontent%2f00014841%2fMRN%2f99_SW_Delivery%2f01_AutoNavi_SW%2fv6%2e20%2fv6%2e20p4&amp;FolderCTID=0x012000E34CF5EB7783074AA754BD675F043156&amp;View=%7bD6B55963-E972-4308-BDD5-DFC71D7110B0%7d</t>
  </si>
  <si>
    <t>Check with Fa/Shouruo about the solution of DPextSgp#2124
[4/18/2014]It's caused by IMI thread is blocked by others for a long time, and the data is not processed in time. If modify the priority, it would cause other issues, suggest keep the design and monitor it. Only this CCP drift is caused by this reason</t>
  </si>
  <si>
    <t>Check PR #8475,DPextSgp#2212
[4/18/2014]Map issue, no need to follow up</t>
  </si>
  <si>
    <t>To integrate the instrument code into D7.19
[4/18/2014]Task provide to Lu Yang</t>
  </si>
  <si>
    <t>Push pr#8564, #433,#435 to test
[4/18/2014]Done</t>
  </si>
  <si>
    <t>To reject PR DPCARSha#392
[4/18/2014]Done</t>
  </si>
  <si>
    <t>To push PR DPCARSgp#8433 to monitor</t>
  </si>
  <si>
    <t>Update Q-gate</t>
  </si>
  <si>
    <t>Check HW setup for cloud VDE
[4/21/2014]Can use the tool that COC used.
[4/15/2014]Yanli get update tool which can be used. 
[4/7/2014]Checked with Vector, the tool should be updated with win7 environment. Currently no. Maybe can use CANoeRun version.</t>
  </si>
  <si>
    <t xml:space="preserve">To check with Wenyi and update PR rampdown plan
[4/21/2014]Updated.
[4/14/2014]To update the total No. </t>
  </si>
  <si>
    <t>Check with Haichen about CloudVDE server  status for COC team
[4/22/2014]Haichen has provided to COC team, if COC team has any question, then support them, close it</t>
  </si>
  <si>
    <t>To check with Boon Yeow the PR solving rate
[4/22/2014]Boon Yeow provided total data in SGP side, to check and merge into the project total</t>
  </si>
  <si>
    <t>Check with Shaobo for PR DPCARSha#331,#338
[4/22/2014]Mengting to handle #331, Check in CS. Close it here
[4/18/2014]#331 to be handled by conti dll, #338 to handle by HMI</t>
  </si>
  <si>
    <t>Check PR #675, seems remove out from SW discipline</t>
  </si>
  <si>
    <t>PR</t>
  </si>
  <si>
    <t>To confirm with shouruo for 100km radius solution
[4/23/2014]LiMin confirmed the solution, AN to fix it
[4/18/2014]Provided KPI test result to Li Min, pending on feedback</t>
  </si>
  <si>
    <t>PR#447, to check if check in C4 release
[4/23/2014]difficult to control the version, no need to checkin C4.</t>
  </si>
  <si>
    <t>Update PR#432 function area to NAVI
[4/23/2014]Done</t>
  </si>
  <si>
    <t>Check PR DPextSgp#2124 solution with shouruo
[4/23/2014]Thread is blocked to handle the data, no solution, follow this topic in another item.</t>
  </si>
  <si>
    <t>To check with AN why DPCARSha#335 can't using same angle, what's the concerns
[4/18/2014]Main concern is the performance, AN provide the explaination.</t>
  </si>
  <si>
    <t>DPextSgp#2213 ,DPextSgp#2198 to confirm if same issue as #8577
[4/23/2014]Should not be same issue, as in #8577, start point is CCP, but in these 2 PRs, start point is not the CCP.</t>
  </si>
  <si>
    <t>To check with Jimmy for the TI image 
[4/23/2014]Jimmy provide the image, to confirm with Chenyu if it can be used.</t>
  </si>
  <si>
    <t>Submite PR to enable/disable dynamic rout recalculation
[4/23/2014]PR DPCARSha#466</t>
  </si>
  <si>
    <t>Check feedback of MSFT for #223
[4/23/2014]Answer the question, pending on their feedback again</t>
  </si>
  <si>
    <t>Check PR #182&amp;#346. They are not planned in same version
[4/23/2014]Fixed in V7.8</t>
  </si>
  <si>
    <t>AN to confirm PR#405, 25 Chinese or 25 Char? If 25 Char, it's too short
[4/23/2014] 25 Chinese char and 49 English Char</t>
  </si>
  <si>
    <t>Defer PR DPCARSgp#8587 to step3</t>
  </si>
  <si>
    <t>Man Kan</t>
  </si>
  <si>
    <t>Kevin</t>
  </si>
  <si>
    <t>Jenny</t>
  </si>
  <si>
    <t>NAVI performace is not good, has PR#458
[4/24/2014]Zengj, same as DPCARSha#447,#307, fixed in v7.9, to close it
[4/23/2014]Would be caused by CPU high loading.</t>
  </si>
  <si>
    <t>To check the schedule of POC, is it possible to provide POC as PSA requested(May 6)
[4/24/2014]POC provided estimation, 7 workdays are needed.</t>
  </si>
  <si>
    <t>AN PR solving rate is low
[4/24/2014]Currently Open PR is not higher than expected, close this item
[4/23/2014]XiYang to come to Conti for PR solving rate</t>
  </si>
  <si>
    <t>Request AN to provide soluton for DPCARSgp#8577
[4/24/2014]It's caused by CCP drift after parking mode, the solution has been integrated into Step3, and the improvement is integrated into v7.8, close here
[4/23/2014]Previous analysis is incorrect, need redo analysis
[4/18/2014]Need to discuss with COC to get suggestion. XiYang to explain the issue to Li Min
[4/16/2014]To provide solution by today.</t>
  </si>
  <si>
    <t>DPCARSha#335, if possible use same view angle in different scale
[4/24/2014]Confirmed to use AN's solution. close the PR.
[4/22/2014]It's not big effort to using same angle view, but the performance is not good, transfer the mail to PSA and confirm with them
[4/18/2014]Using same view angle the effect is not better than diffierent view angle
[4/16/2014]Would have same issue. 50m is 3D, 100m is 2.5D. XiYang to explain next week.</t>
  </si>
  <si>
    <t>To check the possibility that keeping VR session when WEB browser is performing
[4/24/2014]VR session can be blocked. Different design.</t>
  </si>
  <si>
    <t>Request Xiyang to provide explain for PR#405
[4/24/2014]AN has issue on this  to fix.
[4/23/2014]Xi Yang sent mail to yongjian, pending on update the requirement, 25 Chinese Char and 49 English Char
[4/18/2014]To check with Yongjian for the requirement, need to confirm with PSA</t>
  </si>
  <si>
    <t>Pateo</t>
  </si>
  <si>
    <t>DPCARSha#394 push to test
[4/24/2014]PSA requested to provide the test report b.w. step1 and step3. Followed in another item, close this one</t>
  </si>
  <si>
    <t>Wu Wei</t>
  </si>
  <si>
    <t>DPCARSha#478, server has fixed today, to check again
[4/24/2014]AN confirmed it's BL issue, and to fix in v7.9. AN to update the analysis and push to test</t>
  </si>
  <si>
    <t>push PR#494 back to SHA database to update function area</t>
  </si>
  <si>
    <t>To confirm the voice prompt translation issue 
[4/26/2014]Confirmed that need to update map data in 13Q2 patch version. C4 doesn't include it.</t>
  </si>
  <si>
    <t>DPCARSha#459, DPCARSha#477 need update release version in CS</t>
  </si>
  <si>
    <t xml:space="preserve">CloudVDE:
[4/28/2014]To follow up the meeting minutes with PSA/PATEO
1. CCP format , check with iFlyTek.
2. when server can ready? Test server should be separate with release server to us.
3. HUB URL for audio.
4. iFlyTek reboot. How to handle?
5. Is it to configure ATB to connect to HUB.
6. Workshop for integration before POC.
7. Distance needed in the XML
8. Binary of the xml content,  0x00 should be EOF in xml.
9. To confirm the XML format, better to keep current 
</t>
  </si>
  <si>
    <t>Request COC team to provide traceability report
[4/28/2014]No need to do traceability at COC side
[4/24/2014]To discuss how to trace the design for the DPCA project.
[4/13/2014]To discuss with Achim</t>
  </si>
  <si>
    <t xml:space="preserve">DPCARSgp#8587, to get pic of favirate list from PSA 
[4/28/2014]To defer and monitor, follow up in another item, close this one
[4/24/2014]PSA agreed to monitor in PSA C4. Transfer it back to SHA database then close this one.
</t>
  </si>
  <si>
    <t>v7.9 is too late to delivery, is it possible to change the schedule
[4/28/2014]Inform Lu Yang to update
[4/23/2014]AN delivery as planned, to change the last baseline of C2 to C1.D7.23. To confirm with Cai Min.</t>
  </si>
  <si>
    <t>Check re-test result for PR#487, with shifted GPS.
[4/28/2014]After test with shifted GPS, no issue is oberserd. To transfer back and push to test</t>
  </si>
  <si>
    <t>Check with Cai Min for approve fo local admin
[4/28/2014]Done, pending on IT.</t>
  </si>
  <si>
    <t>Zhang Ming</t>
  </si>
  <si>
    <t>#447,#458, performance is bad, to check with Li Min the impact</t>
  </si>
  <si>
    <t xml:space="preserve">Check with Shouruo for Jiawei's request about voice record
[4/29/2014]Send to Jiawei, done.
[4/28/2014]Test image is ready, to upload on the kuaipan
[4/24/2014]Zhouwei to provide test image.
[4/23/2014]Requeste Li Yanli to support, check after road test finish.
[4/23/2014]Arrange recording in the CAR. </t>
  </si>
  <si>
    <t>Zhang Wei07</t>
  </si>
  <si>
    <t>To check PR DPCARSha#529 why it's Severity A
[4/29/2014]Downgrade to B.</t>
  </si>
  <si>
    <t>Requested Test team to provide video for Push Object to Logu
[4/29/2014]Done</t>
  </si>
  <si>
    <t>To check with Yongjian for PR DPCARSha#419
[4/29/2014]Yongjian updated the requirement. Done
[4/24/2014]Send mail to yanli, pending on feedback to reject/push to test</t>
  </si>
  <si>
    <t>Luo Tongqiang</t>
  </si>
  <si>
    <t>To check the AN release plan, try to delivery into stabi line
[5/5/2014]It's OK if needed to check in stabi line
[4/29/2014]Use D7.23 as code freeze version, to check with Hou Yong for previous plan</t>
  </si>
  <si>
    <t>DPCARSha#501, to check with Kevin for the detail info and net_log.txt file
[5/6/2014]connection is not OK, should be ATB issue.
[4/29/2014]Zhang wei to check net_debug.log file</t>
  </si>
  <si>
    <t>assign task to support remote configuration
[5/6/2014]Finish the task, has bug, create new task to verify it
[4/28/2014]Done, to verify it.
[4/14/2014]Chenyu to fix the issue. Zengj to provide solution</t>
  </si>
  <si>
    <t>Check solution of PR#336
[5/6/2014]DRR issue, close this one, follow by another item
[4/23/2014]AN to discuss with COC for the soution on wk17.4</t>
  </si>
  <si>
    <t>DPCARSha#518, to check with LTQ
[5/6/2014]Expected as step 2.</t>
  </si>
  <si>
    <t>DPCARSha#518 To confirm with LTQ for the detail
[5/6/2014]Expected as step 2.</t>
  </si>
  <si>
    <t>DPCARSha#517 to get usb stick from LTQ
[5/6/2014]LTQ  shipped to AN. They reproduce the issue, would provide video and PGL log</t>
  </si>
  <si>
    <t>DPCARSha#444 , AN to provide analysis
[5/6/2014]Done.</t>
  </si>
  <si>
    <t>DPCARSgp#8414, to check MSFT's plan with Aboo
[5/6/2014]MSFT to update by this week, close this one as has another item.</t>
  </si>
  <si>
    <t>Suggest to reject PR DPCARSha#503, to confirm with test team
[5/6/2014]AN to fix, follow up in the daily meeting</t>
  </si>
  <si>
    <t>DPCARSha#525 check with yongjian to update the requirement or not
[5/6/2014]Has new requirement for the DRR, follow new solution</t>
  </si>
  <si>
    <t>Ni Jiajun</t>
  </si>
  <si>
    <t>talk with hou yong for fastest road
[5/8/2014]It's a bug, should be shortest time</t>
  </si>
  <si>
    <t>DPCARSgp#8592
[5/8/2014]Log is lost, to reproduce.</t>
  </si>
  <si>
    <t>To check with iFlyTek for the server connection when using ATB</t>
  </si>
  <si>
    <t>Get suggestion from AN for DRR using "avoid events" or others as criteria
[5/9/2014]避开拥堵</t>
  </si>
  <si>
    <t>ask AutoNavi to provide test POI database to verify this feature
To prepare SWL for POI upgrade by USB for PSA to test only on bench for C4
[5/9/2014]AN provided to shouruo.
[5/5/2014]Talked with XiYang, check the plan</t>
  </si>
  <si>
    <t>To confirm the solution for DRR popup/prompt effort
[5/9/2014]to fix in v7.11</t>
  </si>
  <si>
    <t>DRR can't be implemented into C2 release.</t>
  </si>
  <si>
    <t>High Light</t>
  </si>
  <si>
    <t>Check MSFT's delivery plan e.g MD51</t>
  </si>
  <si>
    <t>Check PR #513 why is in test status</t>
  </si>
  <si>
    <t>Update PR ramp down chart on server.
To match the in prediction of the NAVI plan</t>
  </si>
  <si>
    <t>AN to provide pic to show 3D improvement.</t>
  </si>
  <si>
    <t>#8577, try to reproduce at same place
[5/6/2014]Test team try to redo it.
[5/13/2014]Can't reproduce on step3.Has been fixed in v7.8
[4/29/2014]Can't reproduce it with step2 version, try to it with step3.
[4/24/2014]Makan arrange the road test with step2 version. Request Li Yanli to perform test on step3.</t>
  </si>
  <si>
    <t>To verify PR DPCARSha#346, to check if has 3D in 
[5/13/2014]fixed.</t>
  </si>
  <si>
    <t>Request Jiajun to create task for remote config
[5/13/2014]Task DPCARSha#6079 Has checked in C1.D7.21</t>
  </si>
  <si>
    <t xml:space="preserve">To check with LTQ for the TPEG info is covered issue
[5/13/2014]The TPEG info is not clear. Close here, followed in another item </t>
  </si>
  <si>
    <t>Check with Zhang Fa for analysis of PR#535 reboot issue
[5/13/2014]Thread in RBG is blocked, pending on CoC to check. Followed in CCB meeting.</t>
  </si>
  <si>
    <t xml:space="preserve">DPCARSha#394, follow up the reproduce status
[5/13/2014]Reproduce the issue, AN to check, followed in CCB </t>
  </si>
  <si>
    <t>To discuss release plan of DRR with AN
[5/13/2014]v7.12 can be release in wk22. Request AN to do test on car and provide test report, then we can integrate it into stabi line.   Clouse at here, follow it in another item.</t>
  </si>
  <si>
    <t>AN to provide pic after 抽稀 finished(DPCARSha#592)</t>
  </si>
  <si>
    <t>DPCARSha#394 AN to provide compare test report between Step2 and Step3
[5/14/2014]AN find point that can be optimized, close at here
[5/13/2014]Reproduce the issue, pending on check
[4/24/2014]PSA didn't agree the performance, need AN to provide compare data b.w step1 and step3.Xiyang to check with AN-BJ bywk18.2
[4/22/2014]AN provide the test report, to forward to PSA and  confirm with PSA</t>
  </si>
  <si>
    <t>To provide slides to explain the english translation issue
[5/14/2014] Remove item of HK,MC,TW, can increase 6k, plan to fix in v7.11
[5/13/2014]Current solution is not acceptable, need new one.
[5/9/2014]AN to update the statistic data.</t>
  </si>
  <si>
    <t>Ma Shishi</t>
  </si>
  <si>
    <t>To check with Zhangming for #8588, the MRN shipped to SHG
A94 reboot issue.
[5/15/2014]PSA agreed to monitor
[5/5/2014]Map is OK, need AN to do further analysis. 
[4/29/2014]Zhangming shipped last Sat. Check with Zeng zhi</t>
  </si>
  <si>
    <t>Update NAVI pre-release plan, delay v7.11 to wk22
[5/15/2014]Done.</t>
  </si>
  <si>
    <t>PR#504 WHY this one is NG
[5/15/2014]HMI would not disappear. HMI to check</t>
  </si>
  <si>
    <t>刷帧率太低，500m时只有3.8, 3D 200m只有2帧！~！！！！
[5/15/2014]抽稀能解决3D 问题。 2D问题高德内部分析解决。</t>
  </si>
  <si>
    <t>DPCARSgp#8388 can't be reproduced, suggest to monitor,
[5/16/2014]Told Aboo to close it.</t>
  </si>
  <si>
    <t>DPCARSha#585 PSA's purpose is in every scale/mode, the TPEG info should be clearly
[5/16/2014]Close at here,follow in another item.</t>
  </si>
  <si>
    <t>Check the schedule of JiangYuyu 
[5/16/2014]Jenny would arrange JYY's schedule to test v7.11</t>
  </si>
  <si>
    <t>Check with Chenliang how about status of #8388
[5/16/2014]Inform Aboo to close the PR.
[5/15/2014]Can't reproduce , suggest to monitor.
[5/13/2014]Guanjie would collect the log by today.
[5/6/2014]Provide test image, to check with Aboo
[4/15/2014]Chenliang to do the change and provide image to Aboo
[4/3/2014]Escalated to Cai Min he would not support this.</t>
  </si>
  <si>
    <t>Update status of PR with BoonYeow
[5/16/2014]Caimin informed him, close here.</t>
  </si>
  <si>
    <t>Check with Cai Min for Map issue/CloudVR PRs, delete it in the overall PR status. 
[5/18/2014]Delete MAP PRs</t>
  </si>
  <si>
    <t>SSW</t>
  </si>
  <si>
    <t>Check issue that tranfic event date is incorrect
[5/19/2014]Server would fix the issue by Jun.
[5/16/2014]To confirm the plan with AN
[5/14/2014]should be server issue, BJ team would fix it.</t>
  </si>
  <si>
    <t>The TPEG info is incorrect, what's the status of server
[5/20/2014]TomTom is fixing, no plan when to finish.</t>
  </si>
  <si>
    <t xml:space="preserve">DPCARSgp#8564 to check the root cause, and update it.
[5/21/2014]AN provided the analysis.
[5/19/2014]AN to update by today.
</t>
  </si>
  <si>
    <t>Request Yanli to arrange a car for v7.11 DRR road test</t>
  </si>
  <si>
    <t>OpenLR can't be integrated into V7.10
[5/22/2014]informed validation team for this feature. verify it in baseline C1.D7.23
[5/19/2014] To verify based on the test server. AN to provide guidance how to verify this feature.
[5/15/2014]AN implment it, currently is under testing
[5/5/2014]Check AN's plan, plan in v7.10p1
[4/30/2014]Must be in C2. Proposal provide V7.10 patch to integrate into C1.D7.24</t>
  </si>
  <si>
    <t xml:space="preserve"> DPextSgp#2105 check this PR as it fixed the TPEG/Guidance overlap issue</t>
  </si>
  <si>
    <t>Check the MAP status and plan
[5/22/2014]AN provided the MAP PR status, check it and provide feedback
[5/15/2014]AN to provide by wk20.5
[5/14/2014]ZJ to provide PR list.</t>
  </si>
  <si>
    <t>To check plan for DRR 
[5/22/2014]To verify it in v7.11
[5/14/2014]Plan to fix in v7.11, which would be delay to release on wk22. AN must provide Test Report.
[5/13/2014] v7.12 release in wk22. Requested AN to do more test and provide test report, then can check in stabi line
[5/9/2014]provide plan, fix in v7.12, to check the step3 schedule.</t>
  </si>
  <si>
    <t>Check with AN about Parking detail info is available or not
[5/22/2014]Provide feedback to shanxin
[5/19/2014]Server didn't support parking detail currently.</t>
  </si>
  <si>
    <t>Zhou Shanxin</t>
  </si>
  <si>
    <t>PR #347, online search radius is less than 20km 
[5/22/2014]Informed Zhangwei, pending on feedback.
[5/20/2014]online search radius has been changed to 50km which is the MAX.</t>
  </si>
  <si>
    <t>Check with AN for category Name.
[5/22/2014]Mapped by Conti,to check with Wu Tong</t>
  </si>
  <si>
    <t>Wu Tong</t>
  </si>
  <si>
    <t>if have more than 1 Phone no in POI, how to separate?
[5/22/2014]";" and "," is used, informed AN should not use others.
[5/21/2014]To confirm with BJ team.</t>
  </si>
  <si>
    <t>Sun Danjie</t>
  </si>
  <si>
    <t>To prepare cost for Cloud VR
[5/22/2014]Done.</t>
  </si>
  <si>
    <t>DRR plan in V7.12, too late for C2.
[5/22/2014]plan in v7.11 in wk22.</t>
  </si>
  <si>
    <t>Check Cloud VR POC on CPU load and memory usage
[5/22/2014]%60 &lt; CPU loading &lt; 70%, memory usage around 300m(Total MRN system.)</t>
  </si>
  <si>
    <t>Check with COC team for DPCARSgp#8581, detail analysis, how to confirm the issue
[5/22/2014]Check with Hou Yong
[4/24/2014]Hou Yong to follow up.</t>
  </si>
  <si>
    <t>Clarify CRC issue to SSW team and provide  USB sniffer log
[5/22/2014]Tracking in another one, close here
[5/22/2014]Pending on SSW feedback.
[5/16/2014]Log is provided, still need chenliang to clarify the issue.</t>
  </si>
  <si>
    <t>DPCARSha#8414, to check with MSFT what's the fix plan
[5/22/2014]Would not be valide issue if audio path change is OK.
[5/16/2014]Chenyu would reprodcue and provide more info.
[5/13/2014]would have telco meeting with MSFT.
[5/6/2014]MSFT to update by this week.</t>
  </si>
  <si>
    <t>DPCARSgp#8601 defer it to step3
[5/22/2014]Done, to close it in PR tracking</t>
  </si>
  <si>
    <t>Check with Cai min if filed return is Customer return?
[5/22/2014]Yes.</t>
  </si>
  <si>
    <t>Follow up "系统界面混乱" issue reproduce status
[5/22/2014]Happened when using gateway, as PGL replay using grey USB port, and gateway use USB port on debug board, maybe caused by driver conflict. Can't reproduce by Zhang Wei with ATB. To close after confirm with zhangwei</t>
  </si>
  <si>
    <t>DPCARSha#667 to produce the issue</t>
  </si>
  <si>
    <t>To Reproduce</t>
  </si>
  <si>
    <t>PR #586, should not guidance to a POI which is not public, pending on MAP team's feedback.
[5/22/2014]14Q3 would delete this POI.
[5/19/2014]XY to check with BJ.</t>
  </si>
  <si>
    <t>To get the detail change of USB LL enum issue.
[5/22/2014]Task DPCARSha#5923</t>
  </si>
  <si>
    <t>DPCARSgp#8608 to reprodcue with GPS lost case
simulate and disconnect GPS, to check the phenomenon</t>
  </si>
  <si>
    <t>MAP active code for CAPSA boss
[5/23/2014]Hou yong to prepare</t>
  </si>
  <si>
    <t xml:space="preserve">KPI for route recalculation </t>
  </si>
  <si>
    <t>Check CRC issue feedback from SSW team</t>
  </si>
  <si>
    <t>DPCARSha#585,Altis6564283, TPEG flow need to clear, AN should have whole solution, not only width, but also Color. Think about day/night mode.The slides about how to draw TPEG flows is not provided.</t>
  </si>
  <si>
    <t>MAP rotation issue
[5/27/2014]COC team found possible root cause.
[5/22/2014]DR signal is not good. Uploaded internal logs. AN to do further analysis</t>
  </si>
  <si>
    <t>DPCARSha#668 need to reproduce</t>
  </si>
  <si>
    <t>DPCARSha#666 need to reproduce</t>
  </si>
  <si>
    <t>DPCARSgp#8611 to reproduce this case
[5/28/2014]Road is bi-direction way, AN confirmed it's MAP issue, to update map data.
[5/22/2014]SunDanjie to reproduce.</t>
  </si>
  <si>
    <t>DPextSgp#2288 to reproduce, should be same as DPCARSgp#8598</t>
  </si>
  <si>
    <t xml:space="preserve">Check with Boon Yeow about the plan for Audio path change
Also with Aboo
[5/28/2014]To integrate into C1.D7.24, informed them.
[5/22/2014]To Inform SGP team to provide tasks.
[5/16/2014]Check with Zhang Fa about current status.
[5/6/2014]ZhangFa and Chenyu are working on this issue
[4/21/2014]task of Jimmy is ready. Need to verify then to integrate the task together
[4/17/2014]Boon Yeow confirm the task by oral, no official reply. </t>
  </si>
  <si>
    <t>Check with Huang Kai for the DRR switch status.
[5/28/2014]To verify it on v7.11</t>
  </si>
  <si>
    <t>DPCARSgp#8598 check this PR status as it's in PR overview status.
[5/28/2014]Would be same DPextSgp#2288. 
[5/22/2014]To reproduce the issue.</t>
  </si>
  <si>
    <t>Meeting with AN to discuss solution
DPCARSha#564, DPCARSha#521</t>
  </si>
  <si>
    <t>Is 211.151.71.47:8080 for OpenLR, any impact for the TPEG?
[5/28/2014]No impact.</t>
  </si>
  <si>
    <t xml:space="preserve">DPextSgp#2414 的结果
</t>
  </si>
  <si>
    <t>Check resource for SCR272 which has workpackage on the respective HMI
[5/13/2014]To fix in d7.23
[5/6/2014] Need RM to confirm with PSA. pending
[4/28/2014]To fix in d7.21
[4/24/2014]Huangkai/Mengting to fix it after confirmed with yongjian</t>
  </si>
  <si>
    <t>DPextSgp#2290 to reproduce</t>
  </si>
  <si>
    <t>DPextSgp#2279 to reproduce</t>
  </si>
  <si>
    <t>DPCARSha#520 monitor in C5, add into release notes</t>
  </si>
  <si>
    <t>To provide snapshort for DPextSgp#2285 to PSA</t>
  </si>
  <si>
    <t xml:space="preserve">首拼 本地检索搜不到，但是手写可以。PDJC,搜索重要度是怎么确定的。结果搜不到，排序很混乱，STEP2 version.
以前是好的，是否有改过。
</t>
  </si>
  <si>
    <t>Check SCR#328. To check if C5 has map update.
[6/3/2014]13Q4 has passed the map audit.</t>
  </si>
  <si>
    <t xml:space="preserve">#592,#621,#622 would not be fixed in v7.11
[6/3/2014] Passed by AN using v7.11 </t>
  </si>
  <si>
    <t>Review the #695, #693, #694 solution.</t>
  </si>
  <si>
    <t>To check with Hou Yong for PR #2124
[6/5/2014]Haichen to fix it in C2.
[5/28/2014]To enlarge timeout to 1s. Assign developer to fix it.
[5/27/2014]Need HK to fix it. It's not caused by wheel pulse.
[5/22/2014]Need impact analysis, check with shouruo.
[5/16/2014]Need zhang fa to confirm the solution</t>
  </si>
  <si>
    <t>DRR popup show where to set the DRR switch.? Iphone as reference. DUI to create and confirm with PSA. 
[6/5/2014]If want, need to discuss with RM.
[5/22/2014]Suggest not use this. Inform Wutong</t>
  </si>
  <si>
    <t>Input method, search type, check if it's possible to restore the configuration.
[6/5/2014]Big impact, as every page that have the input need change. If want this feature,need estimate the effort.
[5/22/2014]Should HMI to handle the saved configuration
[5/22/2014]Has saved the configuration, navi BL should read it, check with AN.</t>
  </si>
  <si>
    <t>step2 上的问题，北京的隧道不能通行，但导航是从隧道进去。当时出了版地图，什么时候才能正式修改
[6/5/2014]14Q2 to fix the issue. End of 2014.</t>
  </si>
  <si>
    <t>DRR: should have prompt to indicate user that the traffic is heavey even the DRR is disabled.
[6/5/2014]When DRR is disabled, NAVI will not consider traffic status. It could be notified by traffic heavy event.</t>
  </si>
  <si>
    <t>For PR DPCARSgp#8567, AN to provide TPEG/3D coverage rate. The current status and the plan
[6/5/2014]不止出租车，还有第三方数据（tomtom）
[5/27/2014]覆盖的策略,plan是怎样的，会达到100%吗。TPEG采集数据源是怎样的？数据不够准确。采集策略是怎样的？是否只有出租车。
[5/22/2014]Provided check the mail
[5/19/2014]AN to provide by today.
[5/14/2014]Feedback to request BJ,SH,GZ,SZ, and plan
[5/12/2014]Provided status, only shenzhen's pic, no plan, check it
[5/12/2014]Xiyang to provide today.
[5/9/2014]Xiyang to provide today.</t>
  </si>
  <si>
    <t>西体育会路，从南往北，从中间道转到西边道后凯立德能立即区分出来
[6/6/2014]Can't reproduce. Need to check if have guidance when driving.
[6/5/2014]To reproduce with MRN.</t>
  </si>
  <si>
    <t>PR#738, parking information is too less,
[6/6/2014]PR transferred.</t>
  </si>
  <si>
    <t>To provide analysis result why v7.10p1 introduce reboot issue.
[6/6/2014]Monitor in step3.</t>
  </si>
  <si>
    <t>To check with AN how to do improvement for parallel route.  
[6/6/2014]To reproduce with no guidance.</t>
  </si>
  <si>
    <t>DPCARSha#667, AN to reproduce the case without network. To discuss if possible to add info into spy for NAVI
[6/6/2014]Reproduce with bad network case.</t>
  </si>
  <si>
    <t xml:space="preserve">MAP database for C5. 
[6/6/2014] 13Q4 provided for C5.
[6/5/2014] AN can provide by Jun 16.
[6/3/2014] 13Q4 Passed audit.
[5/28/2014]Current 13Q2. Caused by english transfer, it's not provided by Apri. Middle of Jun to provide lastest 13Q2. End of Jun to provide 13Q4(测绘局审图中)
</t>
  </si>
  <si>
    <t>#728 has risk for C5 release</t>
  </si>
  <si>
    <t>Siping lu 辅路没有交通信息，是否正确。
[6/9/2014]ZJ to provide snapshot</t>
  </si>
  <si>
    <t>To check with COC team if it's OK to add a switch to integrate the CloudVR change.
[6/10/2014]Use C1.D7.23 as baseline for developing.</t>
  </si>
  <si>
    <t>#2313 to check with HMI if calculate route failed how HMI handle it.</t>
  </si>
  <si>
    <t>Push to test for SCR#366
[6/10/2014]DPCARSgp#8523, to update CS in SGP.
[4/29/2014]NO PR for it, to check with yongjian</t>
  </si>
  <si>
    <t>Detail for the DRR design, 3D map or other new for step3.
[6/10/2014]Provided DRR and TPEG design spec. Conti to review.
[5/22/2014]Has 3D spec, no DRR spec.
[6/5/2014]AN to provide by wk24.1</t>
  </si>
  <si>
    <t>DPextSgp#2100 Check with Li Yanli why not find it during testing?</t>
  </si>
  <si>
    <t xml:space="preserve">Exception found in NAVIENGINE
[6/12/2014]Fixed in v7.11p1, integrated in c1.d7.26
[6/10/2014]AN to confirm the patch release for this issue.
AN to confirm it's new instroduced issue.
</t>
  </si>
  <si>
    <t>TPEG line is not clear
[6/12/2014]ZJ to check the mail send from AN.
[6/9/2014]AN to continute to investigate how to make improvement(for yellow)
[5/22/2014]To verify it in v7.11
[5/19/2014]Plan to fix in v7.11
[5/14/2014]AN to provide pic to show TPEG line in all scale/mode.Send current 3D pic to AN.</t>
  </si>
  <si>
    <t>DPCARSha#522 impact ? To check if select point in map ,have impact for the city, which version fixed it? Can search place in shenzhen when issue happened?
[6/17/2014]Fixed in 13Q4.</t>
  </si>
  <si>
    <t>13Q4 to provide by Jun 15, integrated into C1.D7.27
[6/17/2014]Provided on wk25.1.</t>
  </si>
  <si>
    <t>DPextSgp#675 map issue?
[6/17/2014]map and bl to fix V7.13+V25.1.2010.0203(13Q4)</t>
  </si>
  <si>
    <t>To provide MAP test report
[6/23/2014]Provided in mail</t>
  </si>
  <si>
    <t>CPU loading is too high!!!</t>
  </si>
  <si>
    <t>There is no POI name in 3D mode
[6/23/2014]Design is like so. 2.5D has POI name.</t>
  </si>
  <si>
    <t>DPextSgp#2312 which version to fix
[6/24/2014]Map team need to investigate at real place.
[6/17/2014]MAP team to confirm.</t>
  </si>
  <si>
    <t>Check Date</t>
  </si>
  <si>
    <t>DPCARSha#520, ALTIS6560364 need to check log added into spy.
[6/24/2014]CoC make improvement, monitor in step3</t>
  </si>
  <si>
    <t>To check with zhang ming for issue DPextSgp#2279,that the telematics is disabled but TPEG can be used.
[6/24/2014]Fixed the issue in C1.D7.04</t>
  </si>
  <si>
    <t>Check with BoonYeow for CR of CoC change
[6/24/2014]Follow SCR#130.
[5/22/2014]would be in step4.May reuse SCR#130.</t>
  </si>
  <si>
    <t>DPCARSha#575 remote config reprodcue by Ren Guanjie
[6/24/2014]Would not be MRN issue, as it can't connect to server, tack in the PR.</t>
  </si>
  <si>
    <t>To check with haibin for 3D map level?
[6/24/2014]Business is OK.</t>
  </si>
  <si>
    <t>CCP drift issue slides.</t>
  </si>
  <si>
    <t>reboot issue during Spot Check in Car (C1.D7.27)
[6/25/2014]engine issue, havn't find the root cause, track in the PR DPCARSha#835</t>
  </si>
  <si>
    <t>OpenLR server is lack of data: Traffic event, impact timing
[6/25/2014]Test server is same as official server. Validation team to provide difference,.</t>
  </si>
  <si>
    <t>CPU loading, memory usage with nurance client</t>
  </si>
  <si>
    <t>Cloud VR</t>
  </si>
  <si>
    <t>CAPSA ATB shall be used for CloudVR development. ShengQiang to provide.</t>
  </si>
  <si>
    <t>Request Nurance to show demo. Better on Thursday.</t>
  </si>
  <si>
    <t>Provide high level schedule to PSA by Jul 3</t>
  </si>
  <si>
    <t>DPCARSha#223 get back and push to test</t>
  </si>
  <si>
    <t>DPCARSha#650,To check CCP drift issue on slow speed, after exit undergroud parking and parallel route.
[6/30/2014]Push to test to monitor in step3</t>
  </si>
  <si>
    <t xml:space="preserve">平行道路的选择，AN 以前是说要在地图里刚更新。在哪个地图版本会加进去？
[6/30/2014]Fixed. To test.
[6/12/2014]Engine to fix in the v7.13. map plan to fix by end of Jun.
[6/9/2014]AN to confirm the solution by wk24.3
[5/28/2014]should be into 13Q4(加入辅路属性), To confirm if need to change in enginee. </t>
  </si>
  <si>
    <t>Check traffic event time format value range
[6/30/2014]Confirmed as below.
[6/24/2014]Hour : 0-23
Min: 0- 59
Sec: 0 - 59</t>
  </si>
  <si>
    <t>DPCARSha#835 to provide risk analysis
[6/30/2014]To fix in v7.14</t>
  </si>
  <si>
    <t>#2139 status with Chen Yu</t>
  </si>
  <si>
    <t>Speaker DTC to defer, prepare slides.</t>
  </si>
  <si>
    <t>PR2124 push to monitor</t>
  </si>
  <si>
    <t>To provide log for analyzing CPU loading on vehicle testing.
[7/10/2014]Average CPU loading : 2D-50%, 3D-75%</t>
  </si>
  <si>
    <t>PTT can signal. CloudVR sw. URL.</t>
  </si>
  <si>
    <t>#656 analysis and attachment.
[7/11/2014]PSA reject the PR.</t>
  </si>
  <si>
    <t>bar graph switch. Bar graph 30km indicator.
[7/13/2014]Fixed in D7.38
[6/24/2014]Shaobo to implement it.
[6/5/2014]UI team to discuss with PSA and then implement it.
[5/22/2014]Can support, need PSA to discuss with UI team. To inform Wutong</t>
  </si>
  <si>
    <t>Check with SSW for CRC issue analysis
[7/13/2014]PSA agree to dispense
[6/30/2014]Send mail, pending on feedback
[6/23/2014]To dispense the CRC issue.
[6/10/2014]Query SSW to update status.</t>
  </si>
  <si>
    <t>DPCARSgp#8608, ALTIS6568912, AN to make any possible improvement
[7/13/2014]current design is imprvoment from step1. For the file read fail issue, MSFT found error in code. To track in PR.
[6/30/2014]Architecture to discuss.
[6/6/2014]Has made improvmeent, otherwise it would cause reset.</t>
  </si>
  <si>
    <t>Reason for step2 issue. 6576322. 本地搜索“御上海”无法搜到（首拼），全拼可以。省市是在松江区
[7/13/2014]AN fixed in v7.15.
[6/30/2014]To confirm with PSA.
[6/24/2014]AN to provide video.
[6/17/2014]The performance is OK, memory usage would increase about several k. To discuss with shouruo.
[6/12/2014]AN to check the performance with improvement solution
[6/10/2014]PC demo和手机（本地）可以搜到，因为不做联想。松江区，Y有2W联想，只取1W条，S被干掉。
[6/10/2014]当搜索数据太多的时候，会采取不完整搜索的方式，御上海大约有3万多条数据，选取了1W多条，当Y选取的时候S可能已经被干掉。
[6/6/2014]AN can't search the POI in Songjiang. PSA reported it can't be searched in Songjiang qu.
[6/5/2014]Can't search on MRN but it's ok on phone. AN to check the root cause.</t>
  </si>
  <si>
    <t>Validation team to reproduce USB disconnect issue.DPextSgp#2297 
[7/13/2014]Can't reproduce, to monitor
[6/30/2014]Send mail to request the status.Pending on feedback
[6/24/2014]Didn't reproduce the issue.
[5/22/2014]Ren Guanjie to reproduce. Currently can't reproduce, need check with MM for test step.
[5/22/2014]Customer PR DPCARSgp#8602
[5/15/2014]Ren Guanjie to reproduce it, check the test result</t>
  </si>
  <si>
    <t>TTS effort for CloudVR
[7/13/2014]Don't support TTS in WEB</t>
  </si>
  <si>
    <t>DPCARSha#589 map issue?
Would not be issue, to check with PSA.
[7/13/2014]Confirmed with PSA, to monitor.</t>
  </si>
  <si>
    <t>3D map level, is there any change on code?
[7/13/2014]Confirmed with XY, no BL change. Map will delivery on Aug 04. To integrate into D5V2.
[6/25/2014]No confirmation from AN's business. Few code change</t>
  </si>
  <si>
    <t>DPCARSha#503 check with shouruo for the solution as current AN can't fix it.
[7/13/2014]text Scrolling will be removed.
[6/30/2014]AN to provide slide to epxlian why can't change.
[6/30/2014]Road name MAX 63 char? Distriction name 32 char, English is same.
[6/25/2014]AN to confirm.
[6/24/2014]MAX?</t>
  </si>
  <si>
    <t>To get ATB/cable for AutoNavi
[7/2/2014]ATB/MRN works well in the bench, AN to provide video of connection in CAR.
[7/13/2014]ATB can't work in Car, but connection should be OK.
[6/24/2014]Can't work, to check pic or drive back to conti.
[6/17/2014]ATB: IMEI:356524040039355
[6/12/2014]Conti shipped ATB/MRN.
[6/10/2014]ATB would be broken. AN to ship ATB back.</t>
  </si>
  <si>
    <t xml:space="preserve">Zooming KPI:
1km-500m - average 4.5 Frames/s with TPEG, around 1 Frames gap.
[7/13/2014]PSA to monitor in step3.
</t>
  </si>
  <si>
    <t>#835 to check how to reproduce, what's the condition, we need to verify it.
[7/13/2014]Not in official server, don't has impact for C5 AR release verify.
[7/2/2014]XY to check if OPENLR is in the official server.</t>
  </si>
  <si>
    <t>DPCARSha#394
刷帧率不够科学。需要在重现问题的点上多测几次，取最差值来确定是否有改进。没有其他操作，只有NAVI的情况下的值。
[7/13/2014]Compare with Step2. Follow in another item.
[6/30/2014]To provide test result with TPEG.
[6/25/2014]To have FTF meeting to discuss
[6/23/2014]AN to provide test result with TPEG.
[6/9/2014]AN to provide by wk24.4</t>
  </si>
  <si>
    <t>CPU loading is too high!!!
[7/13/2014]Checked, the avarage should be OK. Another item has the data.</t>
  </si>
  <si>
    <t>Team</t>
  </si>
  <si>
    <t>DPCARSha#731, AN need to check why whether icon can't match detail info
[7/14/2014]AN has made improvement in v7.15. The on route city list and weather should be correct after improvement.</t>
  </si>
  <si>
    <t>DPCARSha#782, AN to study turn mode solution
[7/14/2014]Current no plan to study the solution. Monitor in step3.</t>
  </si>
  <si>
    <t>Send issue #894 to Fa
[7/15/2014]send.</t>
  </si>
  <si>
    <t>Fav/history is cleaned, why?
[7/15/2014]Engine team is checking, follow in DPCARSha#871</t>
  </si>
  <si>
    <t>start KPI in 3D mode. Around 33s.
[7/16/2014]AN to provide video.
[7/15/2014]Engine KPI 3D is same as 2D from log. AN to check with watch</t>
  </si>
  <si>
    <t>Avoid highway will avoid ring road?
[7/16/2014]Avoid fast road.</t>
  </si>
  <si>
    <t>DPCARSgp#8417 not map issue? Then?
[7/17/2014]Check in map PR.</t>
  </si>
  <si>
    <t>AN PM transfer to other project.</t>
  </si>
  <si>
    <t>AN only has 3 tester to verify the release.</t>
  </si>
  <si>
    <t>AN to provide road test report based on v7.15
[7/18/2014]To provide by end of Jul 23</t>
  </si>
  <si>
    <t>discuss the impact that move DRR switch to rules
[7/18/2014]Defer to step4.</t>
  </si>
  <si>
    <t>Find ATB log on D7.30 verification.
[7/18/2014]no ATB log</t>
  </si>
  <si>
    <t>In stabi line, all task should be approved, request team to provide task info
impact module. Test result. 
Fill in the Free string C.
[7/18/2014]Mail send out, follow the guidance</t>
  </si>
  <si>
    <t>SCR#381,#382 request COC team to do effort estimation
[7/18/2014]Send mail, follow in another item</t>
  </si>
  <si>
    <t>Chen yu to record both audio in/out to check quality.</t>
  </si>
  <si>
    <t>File read fail issue reproduction with instrumental code
[7/21/2014]Log has provided.
[7/18/2014]AN has no update. To update by end of Jul 22.</t>
  </si>
  <si>
    <t>AN to confirm why DPCARSha#904 map data structure change is not implement in engine
[7/22/2014]Confirmed it's MAP compile issue. 
[7/21/2014]MAP version has to match to correct BL version?
[7/21/2014]AN to check why do not inform BL/Engine that the structure has changed.
[7/21/2014]Map team would not inform engine that the data structure is not changed.</t>
  </si>
  <si>
    <t>DPextSgp#2100 why not fixed? 
[7/23/2014]Follow in another item.
[7/13/2014]To check with PSA.
[7/5/2014]AN confirmed MaFangShan is POI not road.
[7/2/2014]No Update 
[6/30/2014]AN to feedback by wk27.2
[6/25/2014]Map team to check why Mafanshang is a POI point.
[6/24/2014]Mafangshan is a tunnel(545m, underground 100m)
[6/17/2014]AN to provide slides to explain the issue by tomorrow.</t>
  </si>
  <si>
    <t>CCP jump at luoshanlu huaxialu
[7/23/2014]To submit PR.
[7/22/2014]AN's feedback:
After analysis, we found that this kind of issue will occur in this situation: when CCP drive on a normal road and make a turn, but car icon match to the close elevated road by mistake. 
Our solution is: When CCP deviate from the road, and choose route to match, it should filter elevated road, high way and tunnel which are not connected with the current road.
[7/21/2014]AN to update analysis by today.
[7/18/2014]Pending on analysis
[7/17/2014]fixed. An to reply the mail.</t>
  </si>
  <si>
    <t>MAP PR fixed?
DPextSgp#1813 
DPextSgp#1801
DPCARSgp#3590
DPCARSgp#8567
[7/23/2014]Provide feedback.
[7/22/2014]To provide by today.
[7/18/2014]AN to provide updated MAP status by end of Jul 21
[7/17/2014]Send open Map PR list to AN.</t>
  </si>
  <si>
    <t>To check which traffic event will be played if have more than one
[7/23/2014]If have more than one, will play all per distance order.
[7/22/2014]AN to send mail to reply.
[7/21/2014]AN has no update!!!
[7/18/2014]AN has no update</t>
  </si>
  <si>
    <t>What's the plan for MD54 release?</t>
  </si>
  <si>
    <t>What's the fixing plan for PR#901</t>
  </si>
  <si>
    <t>To confirm the vin conflict retry stragety</t>
  </si>
  <si>
    <t>To check detail line for issue #916 with OED file
[7/25/2014]Has provided, close it.</t>
  </si>
  <si>
    <t>KPI testing follow up
[7/25/2014]Track in another item.
[7/23/2014]AN to send result by today.</t>
  </si>
  <si>
    <t>Ma FangShang tongdao to handle like XiangYinLu  Tunnel
[7/25/2014]Provided, to confirm with PSA.
[7/23/2014]To provide slides to explian.
[7/15/2014]MaFangShan tongdao is not the official name, map data can't modify it.
[7/14/2014]PR to defer to step4.</t>
  </si>
  <si>
    <t>To discuss with PSA:
1. Zoom In/Out
2. DRR. 50km -&gt; 15km, 6min recalculation.
[7/28/2014]To follow in another item.
[7/14/2014]AN has fixed 50km-&gt;15km in v7.15.
[7/10/2014]50KM-&gt;15km, keep in step3, AN to study. Consider the timing from CCP to Issue place and the impact timing of issue place.
Zoom In/Out to compare with the step2/step3.</t>
  </si>
  <si>
    <t>TTS switch is not saved, it always show enable after MRN restart</t>
  </si>
  <si>
    <t>CCP drift at kaixuanlu
[7/28/2014]Follow in PR.
[7/23/2014]No update.
[7/22/2014]Didn't reproduce it, continue.
[7/21/2014]AN to update analysis by today.
[7/17/2014]Pending on analysis</t>
  </si>
  <si>
    <t>DPCARSha#782, it should not change to elevator road when there is no entry point 
[7/28/2014]AN provided analysis, the PR is deferred, follow in PR.
[7/23/2014]Can't reproduce by using new engine lib. AN to check why.
[7/21/2014]Discussing the solution, AN to provide feedback by Jul 23.</t>
  </si>
  <si>
    <t>AN to provide daily report for reboot issue.
[7/28/2014]Issue to be fixed in v7.15p1, close.
[7/25/2014]#925, to provide analysis report, and fix in v7.15p1.
[7/23/2014]Found root cause , AN to provide analysis by today.</t>
  </si>
  <si>
    <t>V7.15Patch plan
[7/29/2014]Provide on Jul 28. Close it.
[7/25/2014]To delivery by end of Next Monday. By 3:00PM
[7/23/2014]include #925
[7/22/2014]Not include #904 as it's map issue.
[7/21/2014]PR #916,#871,#904
[7/18/2014]Plan to delivery by end of Jul 28.</t>
  </si>
  <si>
    <t>DPCARsgp#8632 voice promt issue in step2
[7/29/2014]Done, HMI to do further analysis.
[7/28/2014]AN to update analysis.
[7/25/2014]Should be TTS issue, AN to provide analysis.</t>
  </si>
  <si>
    <t>DPextSgp#2417 how to make improvement
[7/29/2014] AN has the solution, to confirm the plan. Track in PR.
[7/28/2014]PSA requested to remove the arrow where guidance has finished.</t>
  </si>
  <si>
    <t>CCP drift at wanghailu(PSA reported)
[7/31/2014]Signal is not at the place where issue happened. Track in PR.</t>
  </si>
  <si>
    <t>3D MAP complaint from PSA: when goes from 2D to 3D, there is no good design for transition.
[7/31/2014]Track in PR.</t>
  </si>
  <si>
    <t>Route guidance should not be changed frequently. To ask AutoNavi if they can improve in D5V2. The changes should be confirmed with PSA and Continental.
[7/31/2014]Track in PR.
[7/29/2014]AN to analyze the solution that consider the timing.
[7/28/2014]Consider how to compare the TPEG? It need to store previouse TPEG info.</t>
  </si>
  <si>
    <t>#766, read data failed, need error code
[7/31/2014]Validation team will reenter the PR.
[7/30/2014]XY replied the mail,to check
[7/29/2014]AN to provide feedback.
[7/25/2014]qiliang is checking.</t>
  </si>
  <si>
    <t>#776 is not fixed
[8/4/2014] Track in PR. 
[7/29/2014]Start process to fix the issue, to confirm the plan.
[7/28/2014]AN is discussing the solution.
[7/25/2014]AN analyzed the prompt is not normal one, it's an indication when far away 600m.To check why prompt is not inconsistent with tips.
[7/22/2014]Issue is reproduced. Pending on analyzing the root cause.
[7/21/2014]The issue is observed during simulation.
[7/18/2014]To analyze, to provide update by end of Jul 21.</t>
  </si>
  <si>
    <t>AN to provide disc for map and SW.
[8/4/2014]ZJ to send mail to request</t>
  </si>
  <si>
    <t>CCP drift issue reported by PSA(东部华侨城房车酒店)
[8/4/2014]If reproduced ,new PR will submit
[7/31/2014]PSA will reproduce and provide new PGL log.
[7/30/2014]Pending on PSA to update PGL log.
[7/29/2014]PGL log is not correct</t>
  </si>
  <si>
    <t>MAP level upgrade. When can finish, it should match D5V2 by 20 Aug.
[8/5/2014]Provided. Conti to verify.
[8/4/2014]Under transferring.
[7/13/2014]AN to provide MAP data by Aug 04, BL has no change.</t>
  </si>
  <si>
    <t>联想输入（全拼，手写）在网络搜索中能否使用
[8/5/2014]NAVI HMI to fix in C1.D7.44
[8/4/2014]To check with AN the risk impact to fix in step3 D5V2.
[8/4/2014]AN can support with local data. Defer to step4.
[7/31/2014]AN to study the feasibility by Aug 01</t>
  </si>
  <si>
    <t>CCP drift in dameisha
[8/6/2014]Imapct until the parallel is end.
[8/4/2014]To confirm the impact time of the issue.
[8/4/2014]AN's analysis
As in snapshot, the signal is closer to point 1 than point 2, which cause CCP jump to point 1.
Reason: when choose the best route and switch route, it will depend on the distance between roads and angle. 
Solution: it should consider the guidance and the effect of recent route.
[8/4/2014]AN to feedback in mail by today.</t>
  </si>
  <si>
    <t>Zoom in/out issue. AN to prepare statistic.
[8/8/2014]Check in the PR ccb.
[8/4/2014]An to update detail report by end of today.
[7/31/2014]Only result without TPEG, no result with TPEG, and every point only test once, no average timing.
[7/25/2014]AN send the result. Need made improvement by end of Jul 30.
[7/22/2014]Zoom In/Out KPI can't be satisified, AN to provide test report by end of Wed.</t>
  </si>
  <si>
    <t>Is it possible to disable 3D map.
[8/8/2014]No need in step3. Close
[8/6/2014]Can rendering by brand. Xiaoyun to check if have interface to use different mode.
[8/4/2014]Has not confirmed.</t>
  </si>
  <si>
    <t>Prepare slides for CCP drift issue to PSA.</t>
  </si>
  <si>
    <t>Dynamic route recalculation default value change to NO.</t>
  </si>
  <si>
    <t>Reboot issue found by PSA(406), see mail "MRN C1.D7.40" 08-13 10:12AM</t>
  </si>
  <si>
    <t>provide slides for #2487</t>
  </si>
  <si>
    <t>Defer PR #2425 to step4</t>
  </si>
  <si>
    <t>DPCARSha#792 voice promot is incorrect. AN continues to analyze the root cause.
[8/13/2014]Monitor.</t>
  </si>
  <si>
    <t>DPextSgp#2425, why 5 is not at the middle
[8/13/2014]HMI issue.
[8/6/2014]Checked on incorrect PR, to udpate by tomorrow.</t>
  </si>
  <si>
    <t>DPCARSgp#8632, to provide what AN write to iFlytek to confirm
[8/13/2014]Verify the solution provided by iFlyTek, issue is still observed. iFlyTek to do further analysis
[8/8/2014]AN to provide raw data that transfer to TTS.</t>
  </si>
  <si>
    <t>v7.15p2 delivery and risk/call tree analysis
DPextSgp#2464 - provided.
DPCARSha#969 - provided.
DPCARSha#942 - provided.
[8/13/2014]v7.15p2 is integrated into C1.D7.45</t>
  </si>
  <si>
    <t xml:space="preserve"> mileage in Route list, what does it mean?
[8/13/2014]1st item is distance from CCP, the others is the length of the road</t>
  </si>
  <si>
    <t>The first route recalculation would consider TPEG info, right?
[8/18/2014]Yes,it considers TPEG info if it's enabled.</t>
  </si>
  <si>
    <t>审图号和地图版本的关系，地图数据采集的范围，是否每个角落都会采集，还是有一定的覆盖率。地图数据要达到怎样的完整性，如果没有PR，下次采集数据的时候是否会把现有的问题给解决掉。
[8/19/2014]不会每个角落采集，但是每个项目发现的问题都会更新。</t>
  </si>
  <si>
    <t>To provide MAP delivery schedule</t>
  </si>
  <si>
    <t>小军山的收费口变化已经半年以上，但是显示及语音提示还是原来的收费口。
[8/20/2014]Map data issue, to fix in 14Q4
[8/18/2014]Pending on PSA to confirm what's the difference.</t>
  </si>
  <si>
    <t>沌口zhuankou, not  tun kou.
[8/20/2014]No issue, pending on PSA to confirm where issue happened.</t>
  </si>
  <si>
    <t>DPextSgp#2486 why have both name?
[8/20/2014]Map data incorrect</t>
  </si>
  <si>
    <t>Prepare ccp drift issue status to Cai min</t>
  </si>
  <si>
    <t>To provide information about CCP drift that if it's already there</t>
  </si>
  <si>
    <t>KPI test result #9 is not correct. Should destination search
[8/27/2014]Provided.
[8/21/2014]Must to provided by today
[8/18/2014]AN to provide deviation request slides by tomorrow.
[8/13/2014]AN is checking why this KPI can't be fullfilled. AN is also to check result by inputting destination.</t>
  </si>
  <si>
    <t>DPextSgp#2456, 2.5D/3D color style
[8/27/2014]To update slides to cover all case by today.
[8/21/2014]Xiaoyun to update slides by today.</t>
  </si>
  <si>
    <t>DPCARSha#1050, discuss with yanli to reject it</t>
  </si>
  <si>
    <t>intersection search via network issue: Can't search under district
[9/2/2014]V7.15p5 fixed the issue.
[8/27/2014]Xiaoyun to send out mail to confirm the impact.</t>
  </si>
  <si>
    <t>DPextSgp#2516 need provide report why similar place has the same issue</t>
  </si>
  <si>
    <t>DPextSgp#2397 to provide solution by end of Jul
[9/10/2014]PR deferred to step4. To track in the PR list.
[7/18/2014]Difficult to change. Need submit new requirement</t>
  </si>
  <si>
    <t>AN step4 is not planned. To check with Biz Team.
[9/10/2014]AN has been informed.
[8/8/2014]Need confirm what should be done by AN on SNS feature, and PM need to inform them.</t>
  </si>
  <si>
    <t>Open Date</t>
  </si>
  <si>
    <t>DPextSgp#2283 didn't fix in 13Q4 , need to check again.
[9/10/2014]Track in MAP PR.
[8/21/2014]Found root cause, to feedback by today.
[8/20/2014]Drift 2&amp;3 are reproduced, it's under analyzing.
[8/18/2014]Drift 1 is map issue, to fix in 14Q4.
[8/13/2014]Drift 1 is not reproduced, Reproduced drift 2 and 3, AN is checking signal.
[8/8/2014]Check with ZHL to reproduce again and record video as AN can't reproduce.
[8/5/2014]New logs provided to AN, pending on analysis.</t>
  </si>
  <si>
    <t>search method improvement, need to store the previous used
[9/10/2014]HMI team to implement it.
[9/2/2014]Zhijian to confirm the solution with Shouruo.</t>
  </si>
  <si>
    <t>Prepare change impact of v7.15p4.
CCP Drift to auxiliary issue
Intersection search
CCP jump at 2 point in U style road
[9/10/2014]v7.15p4 is integreated into C1.D7.49.
[9/3/2014]v7.15p5 is not accepted. Build v7.15p4 to verify. AN to do road test in shenzhen/
[9/2/2014]AN provided v7.15p5.</t>
  </si>
  <si>
    <t>wrong POI at HKLZM. What's the root cause? Is there any other POI has the issue, provide slides to PSA.
[9/11/2014]Track in PR #2519
[9/10/2014]Pending on BJ to provide feedback by tomorrow.
[9/2/2014]AN to provide report by Friday.</t>
  </si>
  <si>
    <t>Check with Cheshunli about CCP drift issue 426</t>
  </si>
  <si>
    <t>Why huaqiao has 3D street mode area
[9/16/2014]AN provided slides, it's the area between Jiading to Qingpu.
[9/12/2014]Kunshan has 3D street mode area. AN to provide data info. But from cai min's information, kunshan has no 3D building.
[9/11/2014]xiaoyun to check why there is 3D Steet mode area around huaqiao.</t>
  </si>
  <si>
    <t>DPextSgp#2516, per AN's analysis, it's MAP issue. Need AN to provide report why there are same issues at similar place. Or discuss in the meeting.
[9/16/2014]AN provided slides, uploaded in PR. The PR is set to MAP.
[9/12/2014]BJ team has the feedback. Pending on Xiaoyun to provide slides.
[9/11/2014]No feedback.</t>
  </si>
  <si>
    <t>Hu YiZhou</t>
  </si>
  <si>
    <t xml:space="preserve">How to guarantee the accurency when get the POI from provider.
[9/17/2014]Provided customer complaint to BJ management team. </t>
  </si>
  <si>
    <t>1 CCP drift issue at gas station.
[9/17/2014]PR DPextSgp#2535, tracking in PR</t>
  </si>
  <si>
    <t>Handle leak check
[9/17/2014]Can't reprouce 
[9/12/2014]Qiliang is reviewing the code, to provide feedback by end of next Monday.</t>
  </si>
  <si>
    <t>wuchang has no 3D build on V25, but has on v23
[9/17/2014]PR has rejected.
[9/12/2014]AN to provide comparation between v25 and v23 in wuchang.</t>
  </si>
  <si>
    <t>4 CCP drift issue reported by CAPSA.
[9/18/2014]AN provided analysis. Tracking in PR.</t>
  </si>
  <si>
    <t>Car license issue
[9/18/2014]AN to contact supplier.</t>
  </si>
  <si>
    <t>DPextSgp#2425 "5" is not at middle of the icon, need to check why.
[9/19/2014]Shaobo handle it,track in PR.</t>
  </si>
  <si>
    <t>Request COC team to keep resource for PR fixing
As feature would be move to step4.
[9/24/2014]Pending on PSA's decision if need cloud VR feature. Close this Item now. To check once decision makes.
[8/8/2014]Effort is confirmed, but cloud VR is shift to step4. Need to check again after PSA confirmed the feature
[7/18/2014]Provide SCR to COC team, pending on effort estimation
[7/13/2014]Current resouce is plan to end of Oct 2014. And need to transfer to other project, need raise new request.
[4/13/2014]Need to discuss with Achim</t>
  </si>
  <si>
    <t>ICON rotate suddenly, reported by CAPSA
1 is icon rotate, 1 is map rotate.
[9/24/2014]No update from PSA. Close it at here.
[9/18/2014]Pending on PSA to provide enough information.</t>
  </si>
  <si>
    <t>3D/2.5D mode:
Shenzhen: LiuXian Dadao and mintanglu, 3D,2.5D switch
Shanghai: huochenanzhan 3D street mode, no building
Kunshan: Huaqiao has 3d street mode, move 7km, then show 2.5D mode, then at jiangqiao toll station has 3D mode.C389
DPextSgp#2514l, analysis
To provide slides, need 3d coverage snapshot.
[9/24/2014]Need AN to update the Video. Check in another item.
[9/10/2014]Pending on PSA to confirm.
[9/3/2014]Need provide Altis No which instroduce this design</t>
  </si>
  <si>
    <t>DPextSgp#2566 and DPextSgp#2542 analysis update.
[9/25/2014]AN to update by end of today.</t>
  </si>
  <si>
    <t>DPCARSha#589,DPCARSha#804,DPCARSha#851,DPextSgp#2212,DPCARSgp#8548, need to update test responsible</t>
  </si>
  <si>
    <t>MAP PR update
[9/29/2014]AN to send by end of today.
[9/23/2014]Xiaoyun is OOO this week. To check with AN next wk.1</t>
  </si>
  <si>
    <t>oem video link: http://yunpan.cn/cgDfF5FpCBgvi （提取码：7527）
[10/14/2014]Provided, pending on PSA's feedback.</t>
  </si>
  <si>
    <t>jiangyin can't be found under jiangsu province
[10/14/2014]AN's issue, track in the PR CCB meeting</t>
  </si>
  <si>
    <t>Step2 DPextSgp#2571(6619636), DPextSgp#2574(6619630), DPextSgp#2575(6619628), need AN to do analysis
[9/30/2014]DpextSgp#2571, map issue, fixed in 14Q1
DPextSgp#2574,
DPextSgp#2575, Pending on BJ's feedback.
[10/14/2014]AN provided analysis in daily update.</t>
  </si>
  <si>
    <t>13q4 MAP data failed test case analysis feedback.
[10/14/2014]AN provided.
[9/29/2014]AN will send by end of today.
[9/25/2014]Pending on AN-BJ's feedback. HuangFei to provide pre-feedback about the analysis status and the plan.</t>
  </si>
  <si>
    <t>DPextSgp#2517, different speed limitation. per AN's analysis, it's MAP issue, need map team to confirm by checking with actual road
[10/14/2014]14Q4 would delete speed limitation indicated on road.
[9/29/2014]Map data is incorrect.
[9/25/2014]AN will update analysis in daily PR analysis sheet.
[9/24/2014]AN to provide feedback by end of this week.
[9/23/2014]No feedback.
[9/18/2014]No feedback.
[9/12/2014]As there is 60 limitation on road and 70 limitation on guide board, map team will collect both data. BL need to judge which one should be used.
[9/11/2014]No feedback.</t>
  </si>
  <si>
    <t>AN to study to make improvement for Traffic event TTS
to avoid remove unplayed TTS.
[10/14/2014]Implenting in step4. To close at here.
[7/28/2014]AN has solution, to remove all flag of the event when recalculating the road. 
[7/22/2014]Seems there is bug. Design should play all TTS.
[7/21/2014]AN to provide feedback by today.
[7/18/2014]AN has no update</t>
  </si>
  <si>
    <t>Slides for PR#2577
[10/16/2014]Done. Close.
[10/14/2014]AN to provide by tomorrow morning</t>
  </si>
  <si>
    <t>Li Wenjie</t>
  </si>
  <si>
    <t>Elke</t>
  </si>
  <si>
    <t>Update integration plan for IDVR, 360camera, SNS, cloudVR</t>
  </si>
  <si>
    <t>Follow the leader mode in SNS feature.
[10/21/2014]Trakcing in OIL</t>
  </si>
  <si>
    <t>NAVI COC is busy on other project.</t>
  </si>
  <si>
    <t>CAPSA management has complaint about the NAVI position accuracy. Need escalate to high level management.</t>
  </si>
  <si>
    <t>辅路问题的区分，主辅路的标准是怎样的。(Altis 704290,DPextSgp#675)
[10/22/2014]Tracking in OIL item 14.
[9/10/2014]Under solution discussion.
[8/27/2014]Workaround implemented into C1.D7.47. Under discussing the final solution. 
[8/20/2014]14Q1 can release as early as Nov.
[8/20/2014]14Q1can fix the issue, but in 13Q4 would displayed
[8/18/2014]Need PGL to check with 14Q1.
[8/13/2014]Pending on AN to verify on 14Q1. 14q1 havn't complete the process. 
[8/13/2014]Confirmed not displayed auxiliary, defer the PR to step4 to fix
[8/13/2014]How to display the road name when in guidance. Auxiliary road will be displayed?
[8/12/2014]
AN to check if possible to rollback.
14Q1 has change, to confirm by end of tomorrow.
[8/8/2014]Pending on XiYang to feedback.
[8/6/2014]AN to check the issue point that how to identify the main road. Xiaoyun to check with production team how to make improvement.
[8/5/2014]AN to feedback by mail by end of today.
[8/4/2014]AN to confirm how to identiy main road.</t>
  </si>
  <si>
    <t>Parallel road improvement 
[10/22/2014]Tracking in OIL item 8.
[8/5/2014]Confirmed to fix
[8/4/2014]AN to implement in step4. ZJ to confirm with PSA about AN's concern.</t>
  </si>
  <si>
    <t>DPextSgp#2519, "HKLZM" incorrect POI. Per AN's analysis, it's MAP issue, Need AN to provide slides to explain why instroduce this issue, if there is any other similar case on other POI.
[10/22/2014]Track in OIL item 10.
[10/14/2014]No update. Need to check if other POI has same issue.
[9/29/2014]AN to provide by end of today.
[9/24/2014]AN to provide pre-feedback by end of next Monday.
[9/24/2014]The report for "美仕唐纳滋" is provided, but no checking report about is there any similar issue in other place.
[9/23/2014]Report is ready. AN to send out by end of today.
[9/19/2014]The analysis is not effectie, need to update and need to check other POI's provided by DaZongDianPing.
[9/17/2014]Xiaoyun to reply the mail to clarify another POI.
[9/12/2014]Provide slides, pending on BJ team to confirm why has another POI issue.
[9/11/2014]AN to provide slides by end of today.</t>
  </si>
  <si>
    <t>3D style issue on other OEM.
[10/22/2014]Pending on PSA to confirm.
[10/14/2014]Conti provided updated video to PSA, pending on feedback.
[9/29/2014]AN to update, and will send by end of today.
[9/29/2014]The updated one is not good, need provide new video. Include same route on Excellent,Hyundai and project with Engine7.1
[9/24/2014]AN To provide updated video by end of Friday.
[9/23/2014]AN provied video, need to update. Include 2D-&gt;3D, 3D-&gt;2D. The project showed in video use Engine version 6? AN to confirm.
[9/18/2014]PSA doesn't accepte the slides. need to update
[9/18/2014]Forward to PSA, pending on feedback.
[9/17/2014]Update version will be provide by today.
[9/12/2014]Can provide by end of today.
[9/11/2014]To provide by tomorrow morning</t>
  </si>
  <si>
    <t>How about the CCP drift issue found in Shenzhen
Issue 5 of total 6 CCP drift issue on v7.15p5
[10/22/2014]Provided test result with PGL logs.
[10/14/2014]No feedback.
[9/29/2014]AN to provide accurance rate by end of Oct 10.
[9/25/2014]AN to reply caimin's mail by end of today.
[9/24/2014]AN to provide the plan by end of Thursday.
[9/23/2014]AN to reply the mail by end of Thursday.
[9/22/2014]Cai Min reply the mail, AN neet to answer the question
[9/19/2014]Test result on step2 is reproduced. The explanation is incorrect.
[9/18/2014]Step2 bind route tightly as it has few factor than step3. AN to provide slides to explain the difference.</t>
  </si>
  <si>
    <t>Driver licence is not ready. AN need to check with supplier.
[10/22/2014]Tracking in OIL item 10.
[10/14/2014]Huang Fei is handling.
[9/29/2014]AN has issue to get driver licences. To check with Hu Yizhou.</t>
  </si>
  <si>
    <t>AN PR</t>
  </si>
  <si>
    <t>CCP drift issue improvement and verification.
[10/22/2014]Tracking in OIL item 8.</t>
  </si>
  <si>
    <t>Orgnization chart for step4
- management structure
- staffing profile(month by month allocation of staff.)
[10/22/2014]Tracking in OIL 3.</t>
  </si>
  <si>
    <t xml:space="preserve">Weekly report
• Week's work focus / accomplishments, including completed action items
• Major meetings
• Issues, including new / changed risks and high-impact / high-likelihood risks
• Next week's planned activities
• Miscellaneous
[10/22/2014]Tracking in OIL item 2.
</t>
  </si>
  <si>
    <t>To provide MSFT's dll for 1066 testing to AN
[10/22/2014]Provided.</t>
  </si>
  <si>
    <t>DPextSgp#2535 need verify with new map.
[10/22/2014]Tracking in OIL item 13.</t>
  </si>
  <si>
    <t>shanghai baoshan wanda is located to baoshan jialefu
[10/22/2014]Not found in new map data.
[9/23/2014]Provided PGL log to AN
[9/18/2014]Pending on feedback from AN BJ  by end of today.</t>
  </si>
  <si>
    <t>DPextSgp#2554, Altis6616604, wrong guidance at 哈飞立交桥, It can be fixed by changing map proerity, should be map issue.
[10/22/2014]Tracking in PR list.</t>
  </si>
  <si>
    <t>To check with Zhang Fa about the solution and requirement proposal for SCR#380 microphone DTC
[10/22/2014]Discussed with Fa, chenyu and huangkai
[10/16/2014]Request Zhang Fa to support, pending on feedback.</t>
  </si>
  <si>
    <t>Need provide detail timing for each SCR in weekly report
[10/22/2014]Requested in team meeting.</t>
  </si>
  <si>
    <t xml:space="preserve">Check list used for reviewing.
Template: http://sgpl142a/RDFunctions/Project%20Office/ProjectPortal/DPCA2/SW%20Quality%20Assurance/05_Templates/SW%20Review%20Checklist/cap0500050f32_04a_SW_Architecture_Review_Checklist.xlsx
Storage:http://sgpl142a/RDFunctions/Project%20Office/ProjectPortal/DPCA2/SW%20Architecture%20Design/02_SW%20Design/32_360Camera/01_SystemDesign/03_ReviewChecklist/
[10/22/2014]Requested in team meeting.
</t>
  </si>
  <si>
    <t>Need to check with PSA about the new theme for DF car on Generic Portal</t>
  </si>
  <si>
    <t xml:space="preserve"> The distance shown on map HMI is wrong
[10/23/2014]Map issue, tracking in PR list DPextSgp#2609.</t>
  </si>
  <si>
    <t>DPextSgp#2542 flicking issue need to provide slides to explain and information if it can be fixed in Engine7.0
include: 
1. Root cause of the issue,
2. If Engine 7.0 can fix the issue
3. Is there any solution to fix the issue.What's the impact/effort/risk to fix the issue.
To provide by end of Oct 10.
[10/23/2014]AN provided slides. Close it.
[10/14/2014]AN to provide slides by today.</t>
  </si>
  <si>
    <t>Lesson learn about the junction view black issue.
How to avoid such issue?
How to do such boundary testing?
How to identify the impact caused by the change of new map
[10/23/2014]Add in OIL item 15.</t>
  </si>
  <si>
    <t>testing should not ignor any CCP drift issue.
[10/23/2014]Add in OIL item 16.</t>
  </si>
  <si>
    <t>Before each release, SyT shall be involved to discuss the testing strategy.
[10/23/2014]Add in OIL item 17.</t>
  </si>
  <si>
    <t>DPextSgp#2577 reproduction status.
[10/23/2014]2 MRN， each has 25 times per day. Close it at here.</t>
  </si>
  <si>
    <t>Step4 NAVI structure update
[10/23/2014]Upated.</t>
  </si>
  <si>
    <t>Every release should have 1000km road test
Every milestone release, AN should perform long distance road test with Conti.
[10/23/2014]Change to 500km per release. Add in SOW, and OIL 18.
[10/14/2014]Conti to send official mail to AN. Request 700km per release. And long distance test for every milestone release.</t>
  </si>
  <si>
    <t>Release notes should include compatible test.
Old SW version + updated MAP data.
[10/23/2014]Added in OIL 19.</t>
  </si>
  <si>
    <t>Chen Shunli</t>
  </si>
  <si>
    <t>Transfer PR#1053 to huangkai</t>
  </si>
  <si>
    <t>CCP drift test result.
Map delivery test result should include in SOW.</t>
  </si>
  <si>
    <t>Yu Jian</t>
  </si>
  <si>
    <t>Need support SNS and CloudVR in step4, has no resource to do it
[10/27/2014]Added it in weekly report.</t>
  </si>
  <si>
    <t>Black junction view issue, how many POI which the id &gt;= 1000000
PR: DPextSgp#2601
[10/28/2014]AN Provided slides, PM to track with PSA.
[10/23/2014]Need to discuss with PSA if fix in step3 running change.</t>
  </si>
  <si>
    <t>Dependency for SNS
[10/28/2014]Talked with Wenjie, requeste server ready by 15-Jan-15. Discuss detail with wenjie on Friday
[10/23/2014]Weijie is on training.</t>
  </si>
  <si>
    <t>BeiDou log&amp;trace to NAVI COC
[10/28/2014]Provided new one to NAVI COC. Pending on analysis.
[10/22/2014]Send to NAVI COC, Shouruo would check with COC team.</t>
  </si>
  <si>
    <t>Cloud VR engine supplier is not finalized.
[10/28/2014]Nuance plans to use VoCon4.6 which has ported for MRN project. 
[10/22/2014]Segment confirmed still need this feature in step4. Need to hightlight there is risk.
[9/10/2014]Set new deadline to end of Sep.</t>
  </si>
  <si>
    <t>Junction view black issue, report need to update.
[10/28/2014]AN provided. Pending on PSA to confirm.</t>
  </si>
  <si>
    <t>SNS UI flow depends on phone sider.</t>
  </si>
  <si>
    <t>SNS requirement is not ready.</t>
  </si>
  <si>
    <t>DPextSgp#2605  to check with COC how about the DR accurancy.</t>
  </si>
  <si>
    <t>Navi COC is lack of resource to implement BeiDou</t>
  </si>
  <si>
    <t>AV knowledge transfer</t>
  </si>
  <si>
    <t>Can data base is not ready.</t>
  </si>
  <si>
    <t>SCR#391 SW should be ready for DV by Nov 20.</t>
  </si>
  <si>
    <t>ECNR plan: Zhouwei to support or transfer to others?</t>
  </si>
  <si>
    <t>Schedule updat per review meeting
cONTI dll effort for SNS
media in SNS, what to do
360camera UI is not ready
DF theme on AN side add to B2</t>
  </si>
  <si>
    <t xml:space="preserve">DPextSgp#2536 push to test, refer to warboad meeting in wk1444.1, add detail information to test </t>
  </si>
  <si>
    <t>Hou Jiewei</t>
  </si>
  <si>
    <t>AN need to change network API to avoid handle leak.To release for step3
[11/4/2014]Tracking in OIL item 5. AN to provide V7.16 release. Close at here.
[10/23/2014]AN's bl can't support network log in D7.50. AN to provide new test dll. AN also reproduced the issue with MSFT test dll.
[10/23/2014]Network log is not enabled, need to redo it.
[10/22/2014]Tracking in OIL item 5.</t>
  </si>
  <si>
    <t>display solution of year information
[11/4/2014]Tracking in OIL item 4. close at here.
[10/23/2014]NAVI info page and Engineer mode page.
[10/21/2014]ZJ to confirm which page should display this information.</t>
  </si>
  <si>
    <t>Send mail to AN to request v7.15p4 disc.
[11/4/2014]Need new SW v7.16. close this item.
[10/14/2014]Send mail to AN. Pending on delivery</t>
  </si>
  <si>
    <t>1066 can't download POI with test image, need AN to provide detail information.
[11/4/2014]Submit another DPCARSha#1094 to MSFT. Close at here</t>
  </si>
  <si>
    <t>Step3SW+Step2Map, 3D building is showed.
AN to confirm step2 MAP support how many citys for 3D.
[11/4/2014]Tracking in OIL item 23.</t>
  </si>
  <si>
    <t>DongFeng POI search.
[11/4/2014]Tracking in OIL item 26. Close at here.</t>
  </si>
  <si>
    <t>2601 all possible solution
[11/4/2014]To provide by end of today. Close at here.</t>
  </si>
  <si>
    <t>after 13Q4 map data, how to fixing PR#2601, ? Update SW or building MAP with ID &lt; 1000000, how to change the
[11/4/2014]Followed up by Tee.
[11/3/2014]Regarding #2601, it's a short term solution, long term solution will be added into slides.</t>
  </si>
  <si>
    <t>1066 fixing on AN side, prepare the SW for step3 running change
[11/4/2014]Tracking in OIL item 5. Close at here.</t>
  </si>
  <si>
    <t xml:space="preserve">When push to test, please update the release version if need.
Fixed </t>
  </si>
  <si>
    <t>Update schedule , Camera360 plan to B2.
[11/5/2014]Updated, close.</t>
  </si>
  <si>
    <t>DPextSgp#2397 solution comments, no need to change on Hmi, but just identify the road direction by engine.
[11/7/2014]Tracking in PR meeting.</t>
  </si>
  <si>
    <t>Contract about Care rent:
Testing area, testing time.
Rent time to 2015-10-31.
[11/7/2014]Provided.</t>
  </si>
  <si>
    <t>6635862 analysis update
[11/7/2014]Can't reproduce the issue with old MAP data+Step1.1 SW. AN to check the difference of MAP data.</t>
  </si>
  <si>
    <t>CCP drift verify:
2556, 2555, 2531, 2530
[11/7/2014]Can't reproduce with Yanyu's U-type road fixing except 2530.</t>
  </si>
  <si>
    <t>DPextSgp#2605 AN to check why using DR+GPS. DR should be correct per DPCA's feedback. Why NAVI thinks DR is not correct.
[11/7/2014]Tracking in PR.</t>
  </si>
  <si>
    <t>TPEG download strategy.
[11/4/2014]AN to provide slides. 
[11/7/2014]Tracking in PR.</t>
  </si>
  <si>
    <t>Step4 AN delivery plan:
AN internal project is still for step3, PR fixing.
[11/7/2014]Almost finished. Close at here.
[10/23/2014]Provided, but PR estimation is incorrect, need to update.
[10/14/2014]No update.
[9/23/2014]Xiaoyun is OOO.
[9/18/2014]Mail system has issue to send out.
[9/17/2014]To provide updated one by today.
[8/27/2014]Biz team is informed, can start to make plan. To provide by end of this week.
[8/18/2014]To check with PM if have new requirement to AN.
[7/30/2014]v8.1 plan on Aug 22.
[7/29/2014]Can start version from v8.1</t>
  </si>
  <si>
    <t>Jiang Yuyu will transfer out in 2015-May, can't support D1/D2 AN AR testing, need additional internal to do it.</t>
  </si>
  <si>
    <t xml:space="preserve"> ECNR of new car line, to confirm the schedule, is it need for B1?
[11/12/2014]PM shall handle it, Zhouwei to support.</t>
  </si>
  <si>
    <t>No OTA protocol for SNS between MRN and Server.
[11/12/2014]Provided.</t>
  </si>
  <si>
    <t>check with Chenshunli about dead road issue
[11/12/2014]No information update from CAPSA.</t>
  </si>
  <si>
    <t>To align with ZV and get New MRN device from TEE</t>
  </si>
  <si>
    <t>VOC from CAPSA
Need to get start/destination point from chenshunli
[11/13/2014]No info as Chenshunli didn't get feedback from tester.
[10/28/2014]Tester is on trip. Can't get such information at moment.
[10/24/2014]Hasn't found the guys, chenshunli will inform us once she get the information.</t>
  </si>
  <si>
    <t>Submite PR to MSFT for POI downloading issue
[11/13/2014]Application used incorret, check with AN.</t>
  </si>
  <si>
    <t>How to handle Bcall in AVP triggered by driver in vF.
[11/13/2014]Same as RVC.</t>
  </si>
  <si>
    <t>To creat PR ramp down plan based on wenyi's input
[11/13/2014]Done.</t>
  </si>
  <si>
    <t>Memory reduce: SW should be ready for DV testing.</t>
  </si>
  <si>
    <t>3D mode in tunnel.
[11/14/2014]Provided. Kailide is same as MRN.
[11/7/2014]No update.
[10/22/2014]Tracking in OIL item 6.</t>
  </si>
  <si>
    <t>Inform CAPSA when the map is ready.</t>
  </si>
  <si>
    <t>PR #2537,#2576, DDR route change issue. AN needs to provide slides to explain the solution, current status and plan.</t>
  </si>
  <si>
    <t>add additional release in  1st of Dec 2015</t>
  </si>
  <si>
    <t>OTA protocol is too simple, and have lots severity A comments.
[11/25/2014]Reviewed, can work now.</t>
  </si>
  <si>
    <t>Overall memory usage of step4(SNS)
[11/25/2014]Pending on Aboo to confirm on SWL.</t>
  </si>
  <si>
    <t xml:space="preserve">DPextSgp#2616 [CAPSA][CSl] two different "深圳湾口岸" POI
[11/25/2014]Map issue. </t>
  </si>
  <si>
    <t>Severity S/A/B PRs should provide PR analysis report in every release.
[9/29/2014] The first release don't need to provide annalysis report for Severity B.
[11/25/2014]Indicate in OIL.</t>
  </si>
  <si>
    <t>MAP Release notes has not provided.
[11/25/2014]Provided, need add "Change list" chapter in future.
[11/7/2014]PSA has comments, AN to update.</t>
  </si>
  <si>
    <t>Map release notes of 0206 is not accepted by PSA. Need to update
[11/25/2014]Updated.
[11/17/2014]0203 to make improvement and 0206 should provide new release by end of this week.</t>
  </si>
  <si>
    <t>DPextSgp#2617, (CAPSA)(CSl) we can search 2 same POI, the toll stations are separated, AN to confirm.
[11/25/2014]Confirmed MAP Issue.</t>
  </si>
  <si>
    <t>Add #2536 into reproduce list.</t>
  </si>
  <si>
    <t>CSV kind SWRC in B3, to update schedule</t>
  </si>
  <si>
    <t>DUP:
end of Dec: MSFT provide schedule
end of March: Plan to delivery by Feb 15.
[11/26/2014]To update schedule, SSW also has the effort.</t>
  </si>
  <si>
    <t>report that Beidou is using.</t>
  </si>
  <si>
    <t>Add SCR#397(AUX icon hiding)into schedule for B2.</t>
  </si>
  <si>
    <t>Schedule is updated for AR</t>
  </si>
  <si>
    <t>Speech CoC schedule.
[12/1/2014]CoC sheducle last to end of March, no time for application to develop.
[11/25/2014]Decide to use vocon 4.6, request Daniel to provide schedule.</t>
  </si>
  <si>
    <t>Add traceability into schedule.</t>
  </si>
  <si>
    <t>Effort of SNS on AN.</t>
  </si>
  <si>
    <t>MRN_Step4_RCS_27
MRN_Step4_RCS_38
MRN_Step4_RCS_39
MRN_Step4_RCS_40
MRN_Step4_RCS_41
MRN_Step4_RCS_42
MRN_Step4_RCS_43
Updated in RCS, need to add into schedule</t>
  </si>
  <si>
    <t>Road name english translation solution.Implement in step4.
[12/2/2014]Track in OIL item#34
[10/14/2014]Need to discuss the solution.
[8/27/2014]Implementing, to confirm the delivery plan.
[7/22/2014]AN's feedback:
For this issue, after engine team check, PSA suggestion is feasible in theory.
We plan to compare current translation result with road name in map database, then make analysis to the data and decide the final solution. 
This work we plan to finish by 22nd of Aug.
After that, we will estimate the further effort for implementing the solution. 
[7/21/2014]AN to update by today.
[7/18/2014]AN has no update
[7/14/2014]PR to defer to step4</t>
  </si>
  <si>
    <t>OTA MAX legth of the message, to discuss with Wenjie/Lu XingWang</t>
  </si>
  <si>
    <t>QR code handle process is not determined</t>
  </si>
  <si>
    <t>Timeout in cloudVR. How to handle</t>
  </si>
  <si>
    <t>Overlay for BZ3/G95: May 2015; No overlay for B751 
Add to schedule.</t>
  </si>
  <si>
    <t>Speech platform is updated, need to retest local VR related feature.</t>
  </si>
  <si>
    <t>New IDVR TS estimation. Check Jiewei's mail</t>
  </si>
  <si>
    <t>Nuance</t>
  </si>
  <si>
    <t>Size of DDR reduce will by ready on wk1505.5 on SSW side.</t>
  </si>
  <si>
    <t>Check feedback of route translation solution from Shouruo/Hou Yong</t>
  </si>
  <si>
    <t>Setup weekly meeting with Speech CoC from wk51
[12/9/2014]Done.</t>
  </si>
  <si>
    <t>AN need new HW for step4.
[12/9/2014]Provided 4 devices to AN, all can work.
[11/25/2014]3 can't work, prepare others.
[11/12/2014]Shipped one, need another 3.</t>
  </si>
  <si>
    <t>English version slides for parallel road.
[12/9/2014]The solution is not accepted cause performance in step1, AN to consider others. AN is using 14Q2 to check if the issue can be fixed.
[11/18/2014]Provided, pending on PSA to confirm the solution</t>
  </si>
  <si>
    <t>Show saved time for DRR.
[12/9/2014]Request Jiewei to provide.Follow up the plan.
[11/13/2014]Jiewei will discuss with PSA today.</t>
  </si>
  <si>
    <t>To check with PSA about IDVR, 360 CAMERA device 
[12/9/2014]Provided.
[11/25/2014]360 camera would be ready in wk49.</t>
  </si>
  <si>
    <t>1064 request AN to confirm all WSASelectEvent API is updated.
[12/9/2014]Confirmed all has been changed per MSFT's suggestion.</t>
  </si>
  <si>
    <t>POI download fail issue, need AN to check on application side.
Error code 10038 use invalid sockect.
[12/9/2014]Error 10035 needs MSFT to do further analysis.</t>
  </si>
  <si>
    <t>Map release notes should included in every release.</t>
  </si>
  <si>
    <t xml:space="preserve">AN must guarantee the map quality. 
</t>
  </si>
  <si>
    <t>DPextSgp#2542, PSA agreed to dispense, update the CS.</t>
  </si>
  <si>
    <t>Add QIA item in Cloud VR if possible  that load Cloud Addon seperately? How many memory will be consumed, how long to load the add on? It has impact for the KPI.</t>
  </si>
  <si>
    <t>Add grammar tool issue in OIL with COC</t>
  </si>
  <si>
    <t>Add remote config task into the schedule</t>
  </si>
  <si>
    <t>Overlay for BZ3/G95: May 2015; No overlay for B751 , add into the schedule</t>
  </si>
  <si>
    <t>DongFeng POI implemented in V8.2, add into the schedule
[12/17/2014]AN to provide detail value to HMI.</t>
  </si>
  <si>
    <t>Check with MSFT about the MD58, 59 delivery plan</t>
  </si>
  <si>
    <t>IDVR UI is not ready.</t>
  </si>
  <si>
    <t>HMI depend on API of CoDriving feature. Need to update SAD.</t>
  </si>
  <si>
    <t>NMSP, HTTP API is different, has impact to COC development.
[12/18/2014]No big impact, CoC just needs to replace it.</t>
  </si>
  <si>
    <t>Add item "Nuance result format" in the cloudVR QIA
[12/18/2014]Done. Nuance will use new JSON item.</t>
  </si>
  <si>
    <t>1064 first, then DUP, then SNS support for SNS(1186)</t>
  </si>
  <si>
    <t xml:space="preserve">Authentication needs Nuance to delivery lib, to check with CoC if any impact </t>
  </si>
  <si>
    <t>Test result is different with the report.</t>
  </si>
  <si>
    <t>What's the impact if Nuance delivery new release as they will support authentication</t>
  </si>
  <si>
    <t>3pcs sample with issi DDR3 by Dec 25. To check with ZhangFa with the solution.</t>
  </si>
  <si>
    <t>DPextSgp#2574 analysis result
[12/19/2014]PSA agreed to reject
[12/9/2014]Validation team to reproduce.
[11/25/2014]AN provided, pending on PSA to confirm.
[11/12/2014]AN needs to provide whole PGL to show there is no signal in issue place.
[10/29/2014]AN provide snapshot, to check with PSA.
[10/21/2014]No GPS signal on issue route, AN to provide snapshort about the analysis to PSA. Map is correct.</t>
  </si>
  <si>
    <t>DPCA/CAPSA has not confirmed the CloudVR
[12/19/2014]PSA confirmed the feature, commercial contract is ongoing.</t>
  </si>
  <si>
    <t>Co-driving feature on server side can only support trip function before end of Jan.</t>
  </si>
  <si>
    <t>The interface to transfer Position is OK to COC?</t>
  </si>
  <si>
    <t>2, SCR388: 
1), To confirm addtional SW workpackages by supplier change. If it is big change, to update SCR.
2), Plan in B3: SSW CoC not confirmed yet.
3), Prepare DV SW: SW requested by Jan 10 to Tianjin.
4), New 3pcs samples with ISSI DDR3 will be ready by Dec 25 in SHG.
3, To confirm the depencies in schedule. Highlight risks.</t>
  </si>
  <si>
    <t>Nuance can't support current POS value.</t>
  </si>
  <si>
    <t>AN has resource issue to analyze the PR.</t>
  </si>
  <si>
    <t>Check with Hou Jiewei about the TTS requirement to AN.</t>
  </si>
  <si>
    <t>[Overlay]For B751, change dummy overlay to non-overlay by following the requirement; For G95, if there is AVP enabled, no overlay, if AVP is disabled, use the overlay from PSA.</t>
  </si>
  <si>
    <t>When there is popup, to use hard key to switch to other sources and Navi, the behavior is different. To check and explain to PSA.</t>
  </si>
  <si>
    <t>DPCARSha#1169 check with AN when can BJ team to fix it.</t>
  </si>
  <si>
    <t>DPextSgp#2425, DPextSgp#2554 to confirm if it's map issue and version</t>
  </si>
  <si>
    <t>DPextSgp#2513 to check with Chenshunli how to handle.</t>
  </si>
  <si>
    <t>#1066 needs to provide release for Step3 running change.</t>
  </si>
  <si>
    <t>14Q3 and 15Q1 delivery plan
[1/13/2015]Keep using Q2 and Q4.</t>
  </si>
  <si>
    <t>DPextSgp#2100 what's the status 
[1/5/2015]It's solved in PSA side, push the PR to test.</t>
  </si>
  <si>
    <t>AN to provide map delivery plan for MRN until 2017, requested in steering meeting by PSA. Last map version 16Q4
[1/13/2015]Provided.</t>
  </si>
  <si>
    <t>DPCARSha#1044 verify failed in AR testig
[1/13/2015]To fix in V8.1, track in PR list.</t>
  </si>
  <si>
    <t>Beidou supporting fixed from NaviCOC, need AN to rebuild.
[1/13/2015]Confirmed with Shouruo, no needs to rebuild.</t>
  </si>
  <si>
    <t>4 CCP drift PR verified fail on V7.16. AN need to study why and provide lesson learn 
[1/13/2015]Caused by PGL log that is not enough.</t>
  </si>
  <si>
    <t>Check with AN to provide value of DF POI category
[1/13/2015]Will provide after BJ team finished.</t>
  </si>
  <si>
    <t>Pateo to provide API to conti/nuance by Jan 10
[1/13/2015]Provided.</t>
  </si>
  <si>
    <t>Check with AN if can support more than 5 stagepoint
[1/13/2015]Has performance issue.</t>
  </si>
  <si>
    <t>Map display: Add 7month in the map version, and Jan-Jun show Spring, Jul-Dec show Autme
[1/13/2015]Informed AN, track in OIL 44.</t>
  </si>
  <si>
    <t>Navi Biz team inform step4 new feature stopped.
[1/13/2015]Resume to support.</t>
  </si>
  <si>
    <t>OTA is not finazlied as ICD.
[1/13/2015]No need ICD, OTA is internal spec.</t>
  </si>
  <si>
    <t>SCR#388 need prepare DV SW by Jan 10 
[1/13/2015]It's ready.</t>
  </si>
  <si>
    <t>what's the deadline to provide DongFeng car brand POI
[1/13/2015]Provided, AN bj team is working.
[12/9/2014]AN provided list, need to update requirement for it.
[11/14/2014]By end of Nov. Jiewei discussed with PSA. Add this in schedule.</t>
  </si>
  <si>
    <t>Map Year display shall implement in step4.
[1/13/2015]Confirmed the solution, AN to implement. Tracking OIL 44</t>
  </si>
  <si>
    <t>HIFI test environment breakdown
[1/13/2015]No HIFI environment.</t>
  </si>
  <si>
    <t>PR#2616,#2617 defer to step4.
[1/13/2015]Both are map issue.</t>
  </si>
  <si>
    <t>DPCARSha#1116 is not fixed, AN to check.</t>
  </si>
  <si>
    <t>Check CoDriving server schedule</t>
  </si>
  <si>
    <t>Chun Yong</t>
  </si>
  <si>
    <t>Check with Caimin about GPS Antenna from PSA.
[1/15/2015]Would be ready in middle March</t>
  </si>
  <si>
    <t>Check with Chunyong about the DDR3 size reduce.
[1/15/2015]Checked, it's under plan to deliver in wk1505.5</t>
  </si>
  <si>
    <t>Step3 running change should be ready by March 4. AN needs to provide by end of Jan.
[1/15/2015]Requested, track in OIL #45</t>
  </si>
  <si>
    <t>592828113242 to check with Yizhou if it's received.
[1/15/2015]done.</t>
  </si>
  <si>
    <t>Check with Caimin one MRN for Nuance</t>
  </si>
  <si>
    <t>beidou anntenna is not ready until Middle of March. Current Antenna has no SNR, need EV KIT to check the root cause.</t>
  </si>
  <si>
    <t>Delay time change.</t>
  </si>
  <si>
    <t>DPCARSha#1232 has different analysis.</t>
  </si>
  <si>
    <t>DPextSgp#2425 which release to fix?</t>
  </si>
  <si>
    <t>CoDrive OTA has big change, has impact to schedule.</t>
  </si>
  <si>
    <t>MRN and Server requriement is not consistent.</t>
  </si>
  <si>
    <t>DPCARSha#1296 needs to check why the popup is too far away</t>
  </si>
  <si>
    <t>Update UE that indicate how to help and what would play to help the user.</t>
  </si>
  <si>
    <t>DPextSgp#2066 needs to update the map data V27.0203</t>
  </si>
  <si>
    <t>Check with AN if there is regression issue on v8.0 as C1.F1.35 found PR#1066 issue.</t>
  </si>
  <si>
    <t>To check with FSL about the change and request MAP file.
To check with Aboo about how to integrate FSL's new dll into the SW.</t>
  </si>
  <si>
    <t>How to track the traceability on the RD version.</t>
  </si>
  <si>
    <t>Some CCP drift issue is difficult to fix, and AN has no solution cause it's used old version engine, AN assign few resouce on it.</t>
  </si>
  <si>
    <t>Need more activation code to support CoDrive feature valiation</t>
  </si>
  <si>
    <t>V8.2 delayed cause AN found critical issue and has not been found the root cause.</t>
  </si>
  <si>
    <t>Huang Kai is on other issues, has no time for IDVR.</t>
  </si>
  <si>
    <t>Send behavior information of  media to Garmin</t>
  </si>
  <si>
    <t>IDVR and CloudVR workshop and the testcase.</t>
  </si>
  <si>
    <t>14Q2 map data need request the CD</t>
  </si>
  <si>
    <t>CoDrive communication will be shutdown in iOS</t>
  </si>
  <si>
    <t>B754, on C1.F1.40, BT/FM volumn is incorrect when doing switch</t>
  </si>
  <si>
    <t>B81, C1.F1.40 has reboot</t>
  </si>
  <si>
    <t>6703250 , C1.F1.40 HMI has no response.</t>
  </si>
  <si>
    <t>6614966, reproduce on which version? Can do it on X73?
6679016, which car used, and which version?
6697276, which version? And reproduce time is not enough
6700583, to reproduce</t>
  </si>
  <si>
    <t>AN has resource issue to analyze the PR.
[4/2/2015]no resouce for location issue.</t>
  </si>
  <si>
    <t>CloudVR GPS POI is incorrect</t>
  </si>
  <si>
    <t>Inter DTC, NAVI CoC has no resource to implement it.</t>
  </si>
  <si>
    <t>CCB meeting, Cai WY, Zhang V</t>
  </si>
  <si>
    <t>IDVR Beep solution</t>
  </si>
  <si>
    <t>For Beep of IDVR, please provide feedbacks ASAP. If there is limitaion on MRN, please provide the coutermeasure.</t>
  </si>
  <si>
    <t>About the limitation "SW Loading: When upgrade from SW step3(and before) to Step4, must do calibration to set AVR or AVP.", what is the impact to end user if update SW from step3 SOP to step4 SOP. AVP is only in T88 and G95.</t>
  </si>
  <si>
    <t>Speaker DTC improvement: During the checking period, the speaker would be muted., to provide details of retry mechanism to PSA.</t>
  </si>
  <si>
    <t>When language is set to English and start up MRN, MAP display will show Chinese first for several seconds, then change to Engilish.</t>
  </si>
  <si>
    <t>GPS only solution in Step4, to confirm with AutoNavi how to display CCP to user.</t>
  </si>
  <si>
    <t>C4 AR</t>
  </si>
  <si>
    <t>Pan Jie</t>
  </si>
  <si>
    <t>About the limitation "SW Loading: When upgrade from SW step3(and before) to Step4, must do calibration to set AVR or AVP.", what is the impact to end user if update SW from step3 SOP to step4 SOP. AVP is only in T88 and G95.
[5/7/2015]Has provided feedback via mail.</t>
  </si>
  <si>
    <t>Speaker DTC improvement: During the checking period, the speaker would be muted., to provide details of retry mechanism to PSA.
[5/7/2015]Provided via mail "Re: MRN Step4 C4 AR - Day 1"  at "04/29/2015 03:11 PM"</t>
  </si>
  <si>
    <t>Interface to get language setting
[5/8/2015]Close, has same item. There is interface for this.</t>
  </si>
  <si>
    <t>Check with AN about the  14Q2 map release note for the deleted POI.
[5/11/2015]AN to resend the RN.</t>
  </si>
  <si>
    <t>DPCARSha#1630 - There are some almost duplicated sub-items of Citroen display in the POI list.
[5/11/2015]Engine to fix in v8.6.
[5/7/2015]Found in the 14Q2 acceptance testing.</t>
  </si>
  <si>
    <t>DPCARSha#165 - [3D Map]Map direction suddenly changed while car is waiting the red light 
[5/11/2015]AN to feedback by end of today.
[5/5/2015]It's not MAP issue, and the  latest SW has no such issue. AN to update the result.</t>
  </si>
  <si>
    <t>check with Pan jie to monitor it.</t>
  </si>
  <si>
    <t>Check with AN abou the PRs in V8.5 and V8.4
[5/12/2015]Provided and the PRs are updated in CS.
[5/11/2015]AN to provide by end of today.</t>
  </si>
  <si>
    <t>DPCARSha#1158 to collect log in vehicle.
[5/12/2015]Requested, track in PR.</t>
  </si>
  <si>
    <t>check Data info issue requested by PSA.
[5/12/2015]Clarified.</t>
  </si>
  <si>
    <t>Wang Dong</t>
  </si>
  <si>
    <t>DPCARSha#1511 To check with shouruo if there is anything wrong in the USB driver
[5/13/2015]Close the customer PR DPextSgp#2637 ,monitor #1511. track in PR.
[5/13/2015]No comments from shouruo, to check with ZV about how to handle the PR.
[5/12/2015]Requested Shouruo to check, if no feedback, to discuss in the CCB meeting</t>
  </si>
  <si>
    <t>To confirm the workshop with PSA.
[5/14/2015]in may 20. 21.</t>
  </si>
  <si>
    <t>DPCARSha#1653 to check with yanli to reject
[5/14/2015]Yanli agreed to reject on sametime.</t>
  </si>
  <si>
    <t>Wee Hong Cheng</t>
  </si>
  <si>
    <t>DPextSgp#2536 DPextSgp#2584- Check with ZV to keep it close as DPextSgp#2637</t>
  </si>
  <si>
    <t>AN to reproduce issue #1066. Repeate the guidance.
[5/15/2015]Has same item, close this one.
[5/12/2015]Requested, AN to provide result.</t>
  </si>
  <si>
    <t>#1510 is observed by AN today, Engine team has analyzed that it's caused application call incorrect API. 
[5/15/2015]Fix in v8.6, reply by xiyang. Close here, track in PR delivery 
AN is checking if it's caused by HMI or BL.
AN to send analysis if it's HMI issue.
[5/14/2015]Pending on AN to provide the feedback.</t>
  </si>
  <si>
    <t>When language is set to English and start up MRN, MAP display will show Chinese first for several seconds, then change to Engilish.
[5/18/2015]Per mail from zhijian "Navi language setting" on May 15, it's the limitation of navi enigne.
[5/15/2015]When Contidll transfer the event back, navi is at intialization period, can't process the event immediately, so there is a delay to handle, and the issue is observed. It's the limitation. AN to provide slides.
[5/14/2015]Should be log lost. Huangkai reproduced on step2 and provide full log to Zhijian, pending on AN's feedback.
[5/12/2015]Issue is in system, huangkai is checking.
[5/11/2015]Provided, AN has the feedback, needs Haichen to check on contidll side.
[5/11/2015]Conti to provide the full log for this issue, and submit a PR to track.
[5/8/2015]Already has the interface to do this. Pending on AN to check
[5/7/2015]AN needs an interface to get the information.</t>
  </si>
  <si>
    <t>[DPCA Warranty] TJ04141030252979  what's the feedback per Shouruo's request.
[5/18/2015]Close as the root cause is identified.
[5/15/2015]Provided log, pending on AN to check.
[5/14/2015]AN needs more log and needs HMI to do analysis.
[5/14/2015]Pending on feedback from AN.</t>
  </si>
  <si>
    <t>14Q2 official CD
[5/22/2015]Received, Conti also resend the disc by Cai Min.Close.
[5/18/2015]AN to push.
[5/18/2015]The time is not confirmed, AN to provie the plan by end of today.
[5/6/2015]Pending on AN to provide</t>
  </si>
  <si>
    <t>#1421 - Cancel route calculation but destination history list updated if re-enter this screen
[5/22/2015]AN provided. Close at here.
[5/18/2015]AN to provide by end of today.
[5/14/2015]AN has not provided the slides.</t>
  </si>
  <si>
    <t>#1444 Change to Navi screen takes too much time and show black screen at first.
Request Yanli to check on step3.
[5/22/2015]ZV agreed to dispense. close at here, track in PR list.
[5/22/2015]Same on step3.
[5/15/2015]ZV requested, pending on Yanli to try.
[5/13/2015]Yanli will try in afternoon, to check the result.</t>
  </si>
  <si>
    <t>DPCARSha#1731 - ZV to collect sniffer log.
[5/22/2015]Zhang V agreed to monitor.
[5/18/2015]Query ZV about the PR reproduction status.
[5/15/2015]Check with ZV on next Monday to monitor.</t>
  </si>
  <si>
    <t>Download video for #6723944
[5/25/2015]Finished, close.</t>
  </si>
  <si>
    <t>G95 MRN start-up picture updated.[DPCARSha#1854]
[5/25/2015]Finished.Close.
[5/14/2015]Wang Dong to implement it in C1.F2.22</t>
  </si>
  <si>
    <t>DPextSgp#2718 check the status with Cai min
[5/25/2015]Provided slides to PSA, the PR shall be dispensed, track in PR list, close.
[5/11/2015]It's Valeo DGT issue per Anotine's mail. They have proposal, to check if feasibility.
[5/8/2015]Shaobo is checking after discussion with Wang Yong.</t>
  </si>
  <si>
    <t>IDVR Beep: PSA requested to implement new beep files, but we didn't add new beep since MRN step1.
[5/25/2015]Highlighted in the weekly report, close at here.</t>
  </si>
  <si>
    <t>DPextSgp#2510 needs to log internal DTC
[5/25/2015]Elke has delivered POS_07.13
[5/15/2015]PR set to Elke.
[5/8/2015]Elke starts form May 11.</t>
  </si>
  <si>
    <t xml:space="preserve">DPCARSha#1623, check with mengting to implement it.
 Propose to configure mute source as an un-recoverable source. 
     To be detailed, if the last source is MUTE, source manager will resume the source before MUTE source.
[5/25/2015]Assigned to mengting
</t>
  </si>
  <si>
    <t>DPCARSha#1434 - Can not enter navigation
[5/25/2015]Vehicle has not returned back to AN.
[5/18/2015]AN to reproduce in vehicle.
[5/18/2015]Vehicle is on pairing.
[5/15/2015]Query why AN says there is no environment. Pending on feedback.
[5/14/2015]Send mail to request AN to provide.
[5/13/2015]AN can't reproduce the issue. AN to prvoide reproduction status.
[5/7/2015]Currently only have the workaround solution ,what's the root cause has not been identified.</t>
  </si>
  <si>
    <t>DPCARSha#1024 - [Navi HMI]One redundant white line shows at junction of 'Zhong Nan Jie' and 'Xian Dai Da Dao' in 3D map mode.
[5/25/2015]Has the feedback, to close.
[5/18/2015]Confirmed it's MAP issue, to fix in 15Q2.AN to update analysis.
[5/13/2015]AN to check, it should be map issue.
[5/11/2015]Pending on AN's analysis.
[5/7/2015]What's issue it is?</t>
  </si>
  <si>
    <t>14Q2 map data , AN to prepare for 4s dealer.
[6/1/2015]Finished.
[5/22/2015]Conti also resend the disc by Cai Min.AN will verify and upload on server.
[5/18/2015]The time is not confirmed, AN to provie the plan by end of today.
[5/12/2015]Requested, AN is preparing.</t>
  </si>
  <si>
    <t>For Beep of IDVR, please provide feedbacks ASAP. If there is limitaion on MRN, please provide the coutermeasure.
[6/1/2015]Add solution in C5 release. Close
[5/18/2015]Need to change AAS state machine for new beeps.
[5/15/2015]IDVR Beep: PSA requested to implement new beep files, but we didn't add new beep since MRN step1.
[5/14/2015]Cai Min requsted SGP team to check the question.
[5/13/2015]Mengting provided details which need to support, pending on SGP to feedback.
[5/7/2015]Get guy who can support in SGP. Mengting to implement it.
[5/4/2015]Need support from SGP, Cai Min requested Tee to provide support or cancel this requirement, pending on feedback</t>
  </si>
  <si>
    <t>How to inform Nuance the brand variant
[6/1/2015]Added new filed for appKey and appID, close.
[5/14/2015]Nuance will be ready on May 19. We can verify it after RC is ready.
[5/12/2015]Nuance will use 2 URL, the URL is related with appKey &amp; appID. Need to change the RC message structure. If changed, MRN shall just get the ID from RC.
[5/8/2015]Pending on Nuance to provide the solution that they use different URL</t>
  </si>
  <si>
    <t>DPCARSha#1811 request chen yu to compare the logs with step3.
[6/1/2015]Shouruo has checkd, requested HMI to do further analysis, track in PR list</t>
  </si>
  <si>
    <t xml:space="preserve">DPCARSha#1157 Check with Mengting her feedback to ZhangV's mail
[6/1/2015]Retest. Close
[5/25/2015]can log里ETAT_FMUX(0x122)和CDE_RADIO(0x21F) 不太正常，有丢失，所以导致Degraded mode </t>
  </si>
  <si>
    <t>#1345 - Weather detail screen not refresh at the same time after language change
[6/1/2015]HMI and Contidll to fix, track in PR list, close.
[5/25/2015]Shaobo to check per AN's feedback.
[5/22/2015]HMI has done the change, but still can't work, Shaobo provide logs to AN.
[5/18/2015]Zhijian has discussed with shaobo, to align the result.
[5/15/2015]NAVI has to get the content from server as it used 2 URL for Chinese and English. Pending on AN's feedback.
[5/13/2015]Check the test result from wang dong</t>
  </si>
  <si>
    <t>DPCARSha#1323 check with Ren guanjie if it can be reproduced on V8.6
[6/1/2015]Aligned with Ren Guanjie, set to test. Track in PR list, to close.</t>
  </si>
  <si>
    <t>#1682 -  [Navi][BeiDou Only]CCP drift when car moves out of Xin Jian Road Tunnel
[6/1/2015] Testing twice with official antenna , but not reprodcued. Retest.
[5/22/2015]Got the official antenna. Validation to reproduce next week.
[5/14/2015]Needs official beidou to verify, check with ZV when he can do it.</t>
  </si>
  <si>
    <t>DPCARSha#1856 - "System dump complete" show english when MRN language is Chinese
[6/1/2015]ZV agreed to reject, close
[5/27/2015]It's the design, propose to reject.</t>
  </si>
  <si>
    <t>DPCARSha#1836 - [Alert]Different inputs get same outputs
[6/1/2015]ZV agreed, to reject, close.
[5/27/2015]Propose to reject</t>
  </si>
  <si>
    <t>Zhang Ying</t>
  </si>
  <si>
    <t>DPCARSha#1583 - transfer to MSFT</t>
  </si>
  <si>
    <t>DPCARSha#1931 - invalid case, propose to reject</t>
  </si>
  <si>
    <t>PR 1895 shall add addition log to confirm the issue is from Pateo.</t>
  </si>
  <si>
    <t>PR#1213, aligned with ZV, push to monitor, pending on MSFT to return it back</t>
  </si>
  <si>
    <t>Xi Yingze</t>
  </si>
  <si>
    <t>6731003 CCP drift issue, 
[6/4/2015]Signal is lost. Aligned in C5 AR, monitor this issue.</t>
  </si>
  <si>
    <t>DPCARSha#1583 - [LHT]There are 3 reboots happening during Long hour test of Media.
[6/4/2015]Transfer to MSFT, discuss in warboard meeting.
[6/2/2015]Still can't reproduce. Check in warboard meeting
[6/1/2015]Has not reproduced for 3 night.
[5/22/2015]Has not start the testing. ZV to arrange.
[5/18/2015]Provided, pending on validation team to reproduce.
[5/18/2015]AN to provide engine lib by end of today.
[5/18/2015]Pending on AN to feedback.
[5/15/2015]AN has not located the root cause, don't know how to add instrument code. Check again.
[5/13/2015]AN to provide by end of today.
[5/12/2015]Requested AN to provide.
[5/11/2015]AN to provide instrument code , Conti to reproduce and collect log.
[5/11/2015]Engine bug, memory change to the map area memory to cause the issue,(memory is not enough)
[5/7/2015]AN needs to check exception in navi</t>
  </si>
  <si>
    <t>DPCARSha#1841 ,needs the video to  do further analysis.
[6/5/2015]Track in VR list
[6/2/2015]Zhang Ying is OOO.</t>
  </si>
  <si>
    <t>Pateo server doesn't support remote configuration
[6/5/2015]It works now.
[6/1/2015]Lu Yang to verify on his side with simulator.
[5/25/2015]Requeste to communication via phone.
[5/18/2015]Lu Yang is checking, has issue.
[5/18/2015]Ready, to test today.
[5/15/2015]Can test in wk1521.1
[5/14/2015]Pateo to provide test version by May 22.
[5/13/2015]Planed ready on May 29, it's too late, informed Jiawei to provide test environment to verify by May 20. To discuss in the weekly meeting.
[5/12/2015]Mary provided, but no RC plan. Requested again.
[5/7/2015]Pateo will provide the plan on Friday. To check when then can fix it.</t>
  </si>
  <si>
    <t>DPCARSha#1102 - [Navi HMI]Marker 863,Navi won't play any voice instructions in some specific condition.
[6/5/2015]Track in PR list.
[5/28/2015]Check with Wang Dong about the current behaviro.</t>
  </si>
  <si>
    <t>Check with Wee Hong about the new log for DPCARSha#1559
[6/5/2015]Ship disc to Deck team, track in PR list.
[6/1/2015]Not on sametime.
[5/25/2015]Wee Hong has the feedback ,but it's not good, provide feedback to him, pending answer.
[5/15/2015]Requested, pending on feedback.</t>
  </si>
  <si>
    <t>DPCARSha#1822- LP Previous track button while CD audio is playing makes CD audio stop play and not work any more
[6/5/2015]Ship disc to Deck team, track in PR list.
[6/1/2015]Not on sametime.
[5/25/2015]Check with wee hong if CD driver is not covered by him?
[5/22/2015]If it's CD driver issue, needs other resouce to check.
[5/15/2015]Deck team to do further ananalysis, pending on feedback.</t>
  </si>
  <si>
    <t>DPCARSha#1673, DPCARSha#1903 would be same as #1066, AN has no update for 2 weeks. AN needs to provide the daily update for these severity A issues.
[6/5/2015]track #1673 in PR, #1066 is still in this todo list
[6/4/2015]AN to provide the plan.</t>
  </si>
  <si>
    <t>GPS only solution in Step4, to confirm with AutoNavi how to display CCP to user.
[6/5/2015]AN to fix in V8.7, Track in PR DPCARSha#1522
[5/25/2015]AN delivered V8.6, integrate into C1.F3.02, pending on their feedback for the quetion from Cai Min.
[6/1/2015]Remove the solution in V8.7.
[5/22/2015]Found the root cause, AN fixed in V8.6. The CCP icon color pending on AN's feedback.
[5/18/2015]Pending on AN to provide analysis result.
[5/15/2015]Shipped back to AN.
[5/14/2015]Change the HW info. Jiajun to support
[5/13/2015]ZJ to send request to AN for this change. Sended. Pending on AN to feedback.
[5/12/2015]AN doesn't suggest to change the icon color, AN to setup meeting to discuss.
[5/11/2015]AN to discuss the solution</t>
  </si>
  <si>
    <t>DPCARSha#1222 check with ZV about the test status on other phones to dispense the PR.
[6/5/2015]Track in PR list</t>
  </si>
  <si>
    <t>Check with Hou yong to get the CCP drift issue category.</t>
  </si>
  <si>
    <t>Prepare setup for MSFT on site support engineer.
[6/8/2015]Done.</t>
  </si>
  <si>
    <t>AN PR rampdown plan coordinate is incorrect
[6/8/2015]Updated.</t>
  </si>
  <si>
    <t>#1963, BJ team confirmed the servive area is not closed. To check with  ZV</t>
  </si>
  <si>
    <t>Open PR is more than planned, AN needs to update the plan how to fix it.
[6/12/2015]Monitor 1 week.
[6/8/2015]Doesn't make sense. To check with AN .
[6/4/2015]AN to provide the plan by end of this week.</t>
  </si>
  <si>
    <t>Add Altis PR Rampdown in the weekly report
[6/12/2015]Updated, close.</t>
  </si>
  <si>
    <t>NAVI CoC will deliver new POS_04.14 to fix issues introduced in 04.13</t>
  </si>
  <si>
    <t>Help solution for Cloud VR. Study feasibility.
[6/12/2015]PSA agreed to keep current design.
[5/14/2015]Pending on PSA to confirm.
[5/13/2015]To check in weekly meeting.
[5/8/2015]Provide slides to jiawei, pending on feedback.
[5/8/2015]Can support the solution. MRN provide local help string to server to assemble, help command will return back .</t>
  </si>
  <si>
    <t>Update ePSR every 10 Month
[6/10/2015]Update.</t>
  </si>
  <si>
    <t>DPCARSha#1884, still found memory leak in the latest SW, haichen to check with COC
[6/12/2015]Fixed. Close.
[6/5/2015]Informed CoC team to check. Pending on feedback.</t>
  </si>
  <si>
    <t>Download iFlytek's delivery.
[6/12/2015]Integrated into C1.F3.03.
[6/3/2015]Confirmed with shouruo, pending on Stefan to provide.
[6/3/2015]Pending on CoC to provide, but there is different from the release, check with iFlyTek
[5/25/2015]Need CoC to delivery, provided to Daniel.
[5/14/2015]downloaded, request jiajun to integrate.</t>
  </si>
  <si>
    <t>CloudVR performance testing and analyze.
[6/12/2015]ZV finished, pending on provide the result.
[6/1/2015]Has not finished, in vehicle finished 2(plan 5) guys., bench finished 3(plan 10) guys
[5/22/2015]Has not finished, to check in next Wednesday.
[5/12/2015]ZV is preparing and will perform this week.</t>
  </si>
  <si>
    <t>DPCARSha#1213
[6/12/2015]Pushed to test status.Close.
[6/5/2015]ZV agreed, pending on MSFT to trnsfer back.
[6/2/2015]Pending on ZV to confirm to monitor.
[5/28/2015]MSFT has a feedback it should be fixed, needs to retest, check in the CS.</t>
  </si>
  <si>
    <t>Check PR at CoC side, especially customer PR.
[6/12/2015]Requested, pending on Elke to feedback all.</t>
  </si>
  <si>
    <t>DPextSgp#2585, provide slides to PSA. Check with AN why can't fix it completely.</t>
  </si>
  <si>
    <t>Provide RFD to AN.</t>
  </si>
  <si>
    <t>CloudVR Workshop in Jun 16</t>
  </si>
  <si>
    <t>Provide effort would spend to improve the priority of Auto accident recording popup.</t>
  </si>
  <si>
    <t>DPCARSha#1861 - Lenovo P780 disconnect BT from phone side will makes this phone can't connect MRN anymore
[6/23/2015]Done, close.
[6/1/2015]VP2 use different pair mode. Try again by using same pair mode.
[5/27/2015]Phone issue, requested Zhang V to check on VP2.</t>
  </si>
  <si>
    <t>DPCARSha#1899
[6/23/2015]Fixed in V8.8. Integrated.Close.
[6/12/2015]AN provided test lib, pending on ZV to provide reproduction status. The solution is released in V8.8
[6/3/2015]Provided, check with Shouruo
[6/1/2015]Maybe casued by specific 3D building render, under verifing the solution
[5/29/2015]AN found issue in engine, under reproducing to identify the root cause.</t>
  </si>
  <si>
    <t>CloudVR performance report from Nuance
[6/23/2015]No such report.
[6/12/2015]To discuss in the workshop.
[6/5/2015]It's rejected, to inform in the CloudVR weekly meeting
[6/2/2015]Can't reach Iverson, to check again.
[6/1/2015]Query again, pending on feedback.
[5/25/2015]Requested, pending on their internal discussion.</t>
  </si>
  <si>
    <t>Nuance will deliver new official release by end May 25
[6/23/2015]Integrated into C1.F3.04.
[6/12/2015]Delivered, CoC to integrate by wk1525.3
[6/5/2015]Stefan will check with Arch how to reduce echo.
[6/1/2015]Query Nuance about the plan, pending on feedback.</t>
  </si>
  <si>
    <t xml:space="preserve">Cloud VR Issue found by CAPSA during C5 period.
1. VR function dead one time (micro phone is grid, cancel button doesn’t work), need long time sleep car to restart (See the log as attached)
2. No cancel function during search progress. Cancel and Back function logic is not clear. If the first search result is not good, customer cannot go to the main VR search HMI to re-do the search. 
[6/23/2015]Has PR DPextSgp#2772 and DPextSgp#2830, track in PR list.
</t>
  </si>
  <si>
    <t>Provide the slides for why can't support VR in web portal.
[6/23/2015]Provided. Close.</t>
  </si>
  <si>
    <t>CloudVR error code handling effort
[6/23/2015]To implement it in D5V2.
[6/12/2015]15 man day needed. Pending on PSA to confirm.</t>
  </si>
  <si>
    <t>Check with Chenyu about #1600 which is on warboard.
[6/23/2015]Reproduced. Chen yu to do check.
[6/12/2015]Not updated.
[6/2/2015]Pending on ZV to reproduce and collect logs with new test image.
[6/1/2015]Reproduced on step3 but not on Step4, ChenYu to add instrumental code on C1.D7.52
[5/18/2015]Check with ZV if reproduced the issue.
[5/14/2015]Chen Yu provide test image to test and collect log, pending on validation team's feedback.
[5/13/2015]Chen Yu to add instrumental code and reproduce the PR.</t>
  </si>
  <si>
    <t>DPextSgp#2747, DPextSgp#2750 check with Xi Yingze about the status.
[6/23/2015]Track in PR list. Close.
[6/12/2015]Has no feedback, to check with XiYingze directly.
[6/5/2015]#2750 has the feedback, pending on #2747.</t>
  </si>
  <si>
    <t>Change the Error handling of CloudVR
[6/23/2015]Has the item , to close.
[6/17/2015]Haichen provided. To check with PSA.</t>
  </si>
  <si>
    <t>AN's weekly report.
[6/23/2015]wk1525 is provided.
[6/12/2015]wk1523 is provided.
[6/2/2015]Provided for wk1522
[5/18/2015]Provided.
[5/18/2015]To provide by end of today for wk1520.
[5/11/2015]Has sent , to check.</t>
  </si>
  <si>
    <t>14Q4 official release, request AN to send official mail.
[6/23/2015]Provided.
[6/12/2015]AN to provide by end of today.</t>
  </si>
  <si>
    <t>DPextSgp#2716 , provide slides to PSA to close this PR.
[6/29/2015]Provided, pending on PSA to confirm</t>
  </si>
  <si>
    <t>Change the CloudVR HMI string when microphone is grey
[6/29/2015]Pending on implementation</t>
  </si>
  <si>
    <t>Provide slides for VR cancel command.
[6/29/2015]PSA confirmed, Haichen to implement it in C1.F3.06
[6/23/2015]Provided. Check with PSA if need to change.</t>
  </si>
  <si>
    <t xml:space="preserve">Check CloudVR Beep issue.
[6/29/2015]It's done.
[6/23/2015]Zhou Mengting shall make improvement for the Beep priority.
</t>
  </si>
  <si>
    <t>DPCARSha#1914
[6/29/2015]Keep monitoring.
[6/23/2015]Workaround solution in V8.9.
[6/12/2015]To setup meeting to discuss.
[6/8/2015]Provided on wk1523.5.
[6/5/2015]Requested AN to provide daily update.
[6/3/2015]AN provided via main, check with shouruo
[6/3/2015]To provide report.
[6/1/2015]To check with AN's status.</t>
  </si>
  <si>
    <t>Check traceability report and discuss with wenyi about the rules.
[6/29/2015]Requested team to do it.
[6/23/2015]Checked, most are HMI and TI.Check with wenyi how to handle.</t>
  </si>
  <si>
    <t>Check 1066 reproduction status W/O ATB(#1673)
[6/30/2015]Didn't reproduce, provided log to AN.
[6/29/2015]Didn't reproduce in wk1516, keep monitoring.
[6/23/2015]Pending on validation team to reproduce with new lib.
[6/12/2015]Pending on reproduce.
[6/8/2015]Provided on wk1523.5.
[6/5/2015]Requested AN to provide daily update.
[6/3/2015]AN can't reproduce it now ,  provide new dll with more log to reproduce in  Conti.
[6/1/2015]Wang XY to check the reproduction status in weekend
[5/25/2015]AN to provide the pre- analysis report by end of today.
[5/22/2015]Automatics environment can reproduce the issue. Pending on analyzing the root cause.
[5/18/2015]AN reproduced the issue by manual steps. Found middle ware has exception. Setting up the Automatics environment to  verify.
[5/15/2015]Requested Xiyang to provide the status, pending on feedback.
[5/12/2015]Informed AN to reprpoduce. To check the result.
[5/11/2015]Reproduced, request AN to reproduce.
[5/11/2015]Reproduced with ATB, but no TPEG and other connected service.</t>
  </si>
  <si>
    <t>IDVR beep sound is not good, PSA requests to make improvement.
[6/30/2015]Wu Dong provided the slide, workshop is planned in wk1526.3
[6/23/2015]Requested PSA to provide single frequet audio file. PSA wants the slides.</t>
  </si>
  <si>
    <t>About TPEG citys, is there any update</t>
  </si>
  <si>
    <t>Check NAVI popup setting issue.</t>
  </si>
  <si>
    <t>Check step3 PRs:
DPCARSha#1437 Problem Report System time displays 0:00 for around 3s after ACC ON then cranking
DPCARSha#1478 Problem Report [Dark mode]The system should not enter into black screen 5s later.
DPCARSha#1479 Problem Report [Navi]CCP drift in Sichuan S104.
DPCARSha#1482 Problem Report [Navi]CCP drift to parallel road in Sichuan Jiadingnanlu.
DPCARSha#1483 Problem Report [Date info]The system can not show RVC screen but keeps date info screen.
DPCARSha#1493 Problem Report [Navi]Marker1223_Address searching result list displays blank when doing quick page down
DPCARSha#1495 Problem Report [Navi]Marker1228, Route start point shall not be highway if CCP is in off road with digit road around
DPCARSha#1570 Problem Report [LHT]USB can not be recognized after LHT.
DPCARSha#1581 Problem Report ATB disconnected after weekend test in C1.D7.52
DPCARSha#1613 Problem Report [System][ZJ] RVC is showed even it&amp;#039;s on gear 1 on B73 with F1.52
DPCARSha#1624 Problem Report [Navigation] No ACC code need to keyin after upgrade map data</t>
  </si>
  <si>
    <t>DPCARSha#2057 is set to MAP, change it.</t>
  </si>
  <si>
    <t>D5V1 Calculation KPI is bader than C5,  additional 3s. AN to check why</t>
  </si>
  <si>
    <t>CCP drift happened on B754,found by Tan liang
Check with AN about the result
[7/15/2015]DR issue, fixed in POS_04.14</t>
  </si>
  <si>
    <t>14Q4 map data 审图号 is not correct</t>
  </si>
  <si>
    <t>DPextSgp#2848 issue shall be fixed in V8.12</t>
  </si>
  <si>
    <t>CloudVR guidance issue shall be fixed in V8.12</t>
  </si>
  <si>
    <t>Think about the team management
people role
competence
developer plan
HR risk plan</t>
  </si>
  <si>
    <t>BZ3 audio issue:
USB audio would be muted for 1-2sec for each new BZ3 device</t>
  </si>
  <si>
    <t>DPextSgp#2904, provide slides to PSA
[9/28/2015]Pending on validation team to verify.</t>
  </si>
</sst>
</file>

<file path=xl/styles.xml><?xml version="1.0" encoding="utf-8"?>
<styleSheet xmlns="http://schemas.openxmlformats.org/spreadsheetml/2006/main">
  <numFmts count="2">
    <numFmt numFmtId="164" formatCode="mm\.dd\.yyyy"/>
    <numFmt numFmtId="165" formatCode="[$-F800]dddd\,\ mmmm\ dd\,\ yyyy"/>
  </numFmts>
  <fonts count="22">
    <font>
      <sz val="11"/>
      <color theme="1" tint="0.14996795556505021"/>
      <name val="Segoe Print"/>
      <family val="2"/>
      <scheme val="minor"/>
    </font>
    <font>
      <sz val="11"/>
      <color theme="1"/>
      <name val="Segoe Print"/>
      <family val="2"/>
      <scheme val="minor"/>
    </font>
    <font>
      <sz val="10"/>
      <color theme="1"/>
      <name val="Segoe Print"/>
      <family val="2"/>
      <scheme val="minor"/>
    </font>
    <font>
      <sz val="9"/>
      <color theme="3"/>
      <name val="Courier New"/>
      <family val="2"/>
      <scheme val="major"/>
    </font>
    <font>
      <sz val="10"/>
      <color theme="4" tint="-0.499984740745262"/>
      <name val="Segoe Print"/>
      <family val="2"/>
      <scheme val="minor"/>
    </font>
    <font>
      <sz val="12"/>
      <color theme="1"/>
      <name val="Segoe Print"/>
      <family val="2"/>
      <scheme val="minor"/>
    </font>
    <font>
      <sz val="11"/>
      <color theme="3"/>
      <name val="Segoe Print"/>
      <family val="2"/>
      <scheme val="minor"/>
    </font>
    <font>
      <sz val="9"/>
      <color theme="3"/>
      <name val="Segoe Print"/>
      <family val="2"/>
      <scheme val="minor"/>
    </font>
    <font>
      <sz val="20"/>
      <color theme="3" tint="0.24994659260841701"/>
      <name val="Courier New"/>
      <family val="2"/>
      <scheme val="major"/>
    </font>
    <font>
      <b/>
      <sz val="14"/>
      <color theme="3" tint="0.24994659260841701"/>
      <name val="Courier New"/>
      <family val="3"/>
      <scheme val="major"/>
    </font>
    <font>
      <sz val="14"/>
      <color theme="3" tint="0.24994659260841701"/>
      <name val="Courier New"/>
      <family val="3"/>
      <scheme val="major"/>
    </font>
    <font>
      <b/>
      <sz val="14"/>
      <color theme="5"/>
      <name val="Courier New"/>
      <family val="3"/>
      <scheme val="major"/>
    </font>
    <font>
      <b/>
      <sz val="14"/>
      <color theme="6"/>
      <name val="Courier New"/>
      <family val="3"/>
      <scheme val="major"/>
    </font>
    <font>
      <sz val="12"/>
      <color theme="1"/>
      <name val="Courier New"/>
      <family val="3"/>
      <scheme val="major"/>
    </font>
    <font>
      <sz val="12"/>
      <color theme="3" tint="0.24994659260841701"/>
      <name val="Courier New"/>
      <family val="3"/>
      <scheme val="major"/>
    </font>
    <font>
      <b/>
      <sz val="12"/>
      <color theme="5"/>
      <name val="Courier New"/>
      <family val="3"/>
      <scheme val="major"/>
    </font>
    <font>
      <sz val="9"/>
      <color theme="3" tint="0.14996795556505021"/>
      <name val="Segoe Print"/>
      <family val="2"/>
      <scheme val="minor"/>
    </font>
    <font>
      <sz val="10"/>
      <name val="Segoe Print"/>
      <scheme val="minor"/>
    </font>
    <font>
      <sz val="11"/>
      <name val="Segoe Print"/>
      <scheme val="minor"/>
    </font>
    <font>
      <sz val="11"/>
      <color theme="1" tint="0.14996795556505021"/>
      <name val="Segoe Print"/>
      <scheme val="minor"/>
    </font>
    <font>
      <b/>
      <sz val="14"/>
      <color theme="6"/>
      <name val="Segoe Print"/>
      <scheme val="minor"/>
    </font>
    <font>
      <b/>
      <sz val="12"/>
      <color theme="5"/>
      <name val="Segoe Print"/>
      <scheme val="minor"/>
    </font>
  </fonts>
  <fills count="3">
    <fill>
      <patternFill patternType="none"/>
    </fill>
    <fill>
      <patternFill patternType="gray125"/>
    </fill>
    <fill>
      <patternFill patternType="solid">
        <fgColor theme="8" tint="0.79998168889431442"/>
        <bgColor indexed="65"/>
      </patternFill>
    </fill>
  </fills>
  <borders count="6">
    <border>
      <left/>
      <right/>
      <top/>
      <bottom/>
      <diagonal/>
    </border>
    <border>
      <left/>
      <right style="thin">
        <color theme="6" tint="0.79998168889431442"/>
      </right>
      <top/>
      <bottom/>
      <diagonal/>
    </border>
    <border>
      <left/>
      <right/>
      <top/>
      <bottom style="thin">
        <color theme="6" tint="0.79998168889431442"/>
      </bottom>
      <diagonal/>
    </border>
    <border>
      <left/>
      <right style="thin">
        <color theme="6" tint="0.79998168889431442"/>
      </right>
      <top/>
      <bottom style="thin">
        <color theme="6" tint="0.79998168889431442"/>
      </bottom>
      <diagonal/>
    </border>
    <border>
      <left/>
      <right style="thin">
        <color theme="6" tint="0.79998168889431442"/>
      </right>
      <top style="thin">
        <color theme="6" tint="0.79995117038483843"/>
      </top>
      <bottom style="thin">
        <color theme="6" tint="0.79998168889431442"/>
      </bottom>
      <diagonal/>
    </border>
    <border>
      <left style="thin">
        <color theme="6" tint="0.79998168889431442"/>
      </left>
      <right/>
      <top/>
      <bottom/>
      <diagonal/>
    </border>
  </borders>
  <cellStyleXfs count="7">
    <xf numFmtId="0" fontId="0" fillId="0" borderId="2">
      <alignment vertical="center"/>
    </xf>
    <xf numFmtId="0" fontId="1" fillId="2" borderId="0" applyNumberFormat="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cellStyleXfs>
  <cellXfs count="67">
    <xf numFmtId="0" fontId="0" fillId="0" borderId="2" xfId="0">
      <alignment vertical="center"/>
    </xf>
    <xf numFmtId="0" fontId="1" fillId="0" borderId="0" xfId="1" applyFill="1"/>
    <xf numFmtId="0" fontId="0" fillId="0" borderId="2" xfId="0" applyFill="1">
      <alignment vertical="center"/>
    </xf>
    <xf numFmtId="0" fontId="0" fillId="0" borderId="2" xfId="0" applyAlignment="1">
      <alignment horizontal="center" vertical="center"/>
    </xf>
    <xf numFmtId="0" fontId="0" fillId="0" borderId="0" xfId="0" applyBorder="1">
      <alignment vertical="center"/>
    </xf>
    <xf numFmtId="164" fontId="8" fillId="0" borderId="0" xfId="2" applyNumberFormat="1" applyFill="1" applyBorder="1" applyAlignment="1">
      <alignment horizontal="left"/>
    </xf>
    <xf numFmtId="0" fontId="8" fillId="0" borderId="0" xfId="2" applyFill="1" applyBorder="1" applyAlignment="1"/>
    <xf numFmtId="0" fontId="1" fillId="0" borderId="0" xfId="1" applyFill="1" applyBorder="1"/>
    <xf numFmtId="0" fontId="0" fillId="0" borderId="0" xfId="0" applyFill="1" applyBorder="1">
      <alignment vertical="center"/>
    </xf>
    <xf numFmtId="0" fontId="5" fillId="0" borderId="0" xfId="1" applyFont="1" applyFill="1"/>
    <xf numFmtId="0" fontId="5" fillId="0" borderId="2" xfId="0" applyFont="1">
      <alignment vertical="center"/>
    </xf>
    <xf numFmtId="0" fontId="0" fillId="0" borderId="0" xfId="1" applyFont="1" applyFill="1" applyBorder="1" applyAlignment="1">
      <alignment horizontal="left" vertical="center" indent="1"/>
    </xf>
    <xf numFmtId="0" fontId="12" fillId="0" borderId="0" xfId="6" applyAlignment="1">
      <alignment horizontal="left" vertical="center"/>
    </xf>
    <xf numFmtId="165" fontId="9" fillId="0" borderId="0" xfId="3" applyNumberFormat="1" applyFill="1" applyBorder="1" applyAlignment="1"/>
    <xf numFmtId="0" fontId="3" fillId="0" borderId="1" xfId="2" applyFont="1" applyBorder="1" applyAlignment="1">
      <alignment textRotation="90" wrapText="1"/>
    </xf>
    <xf numFmtId="0" fontId="8" fillId="0" borderId="1" xfId="2" applyBorder="1" applyAlignment="1">
      <alignment vertical="center"/>
    </xf>
    <xf numFmtId="0" fontId="0" fillId="0" borderId="1" xfId="0" applyBorder="1">
      <alignment vertical="center"/>
    </xf>
    <xf numFmtId="0" fontId="5" fillId="0" borderId="1" xfId="1" applyFont="1" applyFill="1" applyBorder="1"/>
    <xf numFmtId="0" fontId="0" fillId="0" borderId="3" xfId="0" applyBorder="1">
      <alignment vertical="center"/>
    </xf>
    <xf numFmtId="0" fontId="0" fillId="0" borderId="3" xfId="0" applyFill="1" applyBorder="1">
      <alignment vertical="center"/>
    </xf>
    <xf numFmtId="0" fontId="0" fillId="0" borderId="4" xfId="0" applyBorder="1">
      <alignment vertical="center"/>
    </xf>
    <xf numFmtId="0" fontId="4" fillId="0" borderId="2" xfId="0" applyFont="1" applyAlignment="1">
      <alignment vertical="top" wrapText="1"/>
    </xf>
    <xf numFmtId="0" fontId="7" fillId="0" borderId="0" xfId="0" applyFont="1" applyBorder="1" applyAlignment="1">
      <alignment vertical="center" wrapText="1"/>
    </xf>
    <xf numFmtId="0" fontId="14" fillId="0" borderId="0" xfId="4" applyFont="1" applyBorder="1" applyAlignment="1">
      <alignment horizontal="right" vertical="center"/>
    </xf>
    <xf numFmtId="0" fontId="14" fillId="0" borderId="0" xfId="4" applyFont="1" applyBorder="1" applyAlignment="1">
      <alignment horizontal="right" vertical="top"/>
    </xf>
    <xf numFmtId="0" fontId="15" fillId="0" borderId="0" xfId="5" applyFont="1" applyAlignment="1">
      <alignment horizontal="left" vertical="top"/>
    </xf>
    <xf numFmtId="0" fontId="13" fillId="0" borderId="2" xfId="0" applyFont="1" applyAlignment="1">
      <alignment horizontal="center"/>
    </xf>
    <xf numFmtId="0" fontId="6" fillId="0" borderId="0" xfId="0" applyFont="1" applyBorder="1">
      <alignment vertical="center"/>
    </xf>
    <xf numFmtId="0" fontId="8" fillId="0" borderId="5" xfId="2" applyBorder="1" applyAlignment="1">
      <alignment horizontal="left" vertical="center" indent="1"/>
    </xf>
    <xf numFmtId="0" fontId="0" fillId="0" borderId="0" xfId="0" applyBorder="1" applyAlignment="1">
      <alignment horizontal="center" vertical="center"/>
    </xf>
    <xf numFmtId="0" fontId="13" fillId="0" borderId="2" xfId="0" applyFont="1" applyAlignment="1">
      <alignment horizontal="left"/>
    </xf>
    <xf numFmtId="0" fontId="0" fillId="0" borderId="0" xfId="0" applyFill="1" applyBorder="1" applyAlignment="1">
      <alignment horizontal="center" vertical="center"/>
    </xf>
    <xf numFmtId="0" fontId="17" fillId="0" borderId="2" xfId="0" applyFont="1" applyAlignment="1">
      <alignment horizontal="left" vertical="center" wrapText="1"/>
    </xf>
    <xf numFmtId="0" fontId="17" fillId="0" borderId="0" xfId="0" applyFont="1" applyBorder="1" applyAlignment="1">
      <alignment horizontal="left" vertical="center" wrapText="1"/>
    </xf>
    <xf numFmtId="0" fontId="18" fillId="0" borderId="0" xfId="0" applyFont="1" applyBorder="1" applyAlignment="1">
      <alignment horizontal="left" vertical="center" wrapText="1"/>
    </xf>
    <xf numFmtId="14" fontId="18" fillId="0" borderId="0" xfId="0" applyNumberFormat="1" applyFont="1" applyBorder="1" applyAlignment="1">
      <alignment horizontal="left" vertical="center" wrapText="1"/>
    </xf>
    <xf numFmtId="14" fontId="17" fillId="0" borderId="0" xfId="0" applyNumberFormat="1" applyFont="1" applyFill="1" applyBorder="1" applyAlignment="1">
      <alignment horizontal="left" vertical="center" wrapText="1"/>
    </xf>
    <xf numFmtId="0" fontId="17" fillId="0" borderId="0" xfId="0" applyFont="1" applyFill="1" applyBorder="1" applyAlignment="1">
      <alignment horizontal="left" vertical="center" wrapText="1"/>
    </xf>
    <xf numFmtId="14" fontId="17" fillId="0" borderId="2" xfId="0" applyNumberFormat="1" applyFont="1" applyFill="1" applyAlignment="1">
      <alignment horizontal="left" vertical="center" wrapText="1"/>
    </xf>
    <xf numFmtId="0" fontId="17" fillId="0" borderId="2" xfId="0" applyFont="1" applyFill="1" applyAlignment="1">
      <alignment horizontal="left" vertical="center" wrapText="1"/>
    </xf>
    <xf numFmtId="0" fontId="0" fillId="0" borderId="2" xfId="0" applyFill="1" applyAlignment="1">
      <alignment horizontal="center" vertical="center"/>
    </xf>
    <xf numFmtId="14" fontId="17" fillId="0" borderId="0" xfId="0" applyNumberFormat="1" applyFont="1" applyBorder="1" applyAlignment="1">
      <alignment horizontal="left" vertical="center" wrapText="1"/>
    </xf>
    <xf numFmtId="0" fontId="18" fillId="0" borderId="0" xfId="0" applyFont="1" applyBorder="1" applyAlignment="1">
      <alignment horizontal="left" vertical="top" wrapText="1"/>
    </xf>
    <xf numFmtId="165" fontId="9" fillId="0" borderId="0" xfId="3" applyNumberFormat="1" applyFill="1" applyBorder="1" applyAlignment="1">
      <alignment horizontal="left" vertical="center" indent="1"/>
    </xf>
    <xf numFmtId="14" fontId="13" fillId="0" borderId="2" xfId="0" applyNumberFormat="1" applyFont="1" applyAlignment="1">
      <alignment horizontal="left" vertical="center"/>
    </xf>
    <xf numFmtId="0" fontId="0" fillId="0" borderId="2" xfId="0" applyAlignment="1">
      <alignment vertical="top" wrapText="1"/>
    </xf>
    <xf numFmtId="0" fontId="0" fillId="0" borderId="2" xfId="0" applyAlignment="1">
      <alignment vertical="top"/>
    </xf>
    <xf numFmtId="0" fontId="17" fillId="0" borderId="0" xfId="0" applyFont="1" applyBorder="1" applyAlignment="1">
      <alignment horizontal="left" vertical="top" wrapText="1"/>
    </xf>
    <xf numFmtId="0" fontId="19" fillId="0" borderId="0" xfId="0" applyFont="1" applyBorder="1">
      <alignment vertical="center"/>
    </xf>
    <xf numFmtId="0" fontId="20" fillId="0" borderId="0" xfId="6" applyFont="1" applyAlignment="1">
      <alignment horizontal="left" vertical="center"/>
    </xf>
    <xf numFmtId="0" fontId="21" fillId="0" borderId="0" xfId="5" applyFont="1" applyAlignment="1">
      <alignment horizontal="left" vertical="top"/>
    </xf>
    <xf numFmtId="0" fontId="19" fillId="0" borderId="2" xfId="0" applyFont="1">
      <alignment vertical="center"/>
    </xf>
    <xf numFmtId="165" fontId="9" fillId="0" borderId="0" xfId="3" applyNumberFormat="1" applyFill="1" applyBorder="1" applyAlignment="1">
      <alignment horizontal="left" vertical="center" indent="1"/>
    </xf>
    <xf numFmtId="3" fontId="17" fillId="0" borderId="0" xfId="0" applyNumberFormat="1" applyFont="1" applyBorder="1" applyAlignment="1">
      <alignment horizontal="left" vertical="center" wrapText="1"/>
    </xf>
    <xf numFmtId="0" fontId="19" fillId="0" borderId="0" xfId="0" applyFont="1" applyBorder="1" applyAlignment="1">
      <alignment vertical="top"/>
    </xf>
    <xf numFmtId="0" fontId="20" fillId="0" borderId="0" xfId="6" applyFont="1" applyAlignment="1">
      <alignment horizontal="left" vertical="top"/>
    </xf>
    <xf numFmtId="14" fontId="13" fillId="0" borderId="2" xfId="0" applyNumberFormat="1" applyFont="1" applyAlignment="1">
      <alignment horizontal="left" vertical="top"/>
    </xf>
    <xf numFmtId="0" fontId="19" fillId="0" borderId="2" xfId="0" applyFont="1" applyAlignment="1">
      <alignment vertical="top"/>
    </xf>
    <xf numFmtId="14" fontId="17" fillId="0" borderId="2" xfId="0" applyNumberFormat="1" applyFont="1" applyAlignment="1">
      <alignment horizontal="left" vertical="center" wrapText="1"/>
    </xf>
    <xf numFmtId="0" fontId="17" fillId="0" borderId="2" xfId="0" applyFont="1" applyAlignment="1">
      <alignment horizontal="left" vertical="top" wrapText="1"/>
    </xf>
    <xf numFmtId="0" fontId="17" fillId="0" borderId="2" xfId="0" applyNumberFormat="1" applyFont="1" applyFill="1" applyAlignment="1">
      <alignment horizontal="left" vertical="center" wrapText="1"/>
    </xf>
    <xf numFmtId="165" fontId="9" fillId="0" borderId="0" xfId="3" applyNumberFormat="1" applyFill="1" applyBorder="1" applyAlignment="1">
      <alignment horizontal="left" vertical="center" indent="1"/>
    </xf>
    <xf numFmtId="165" fontId="9" fillId="0" borderId="0" xfId="3" applyNumberFormat="1" applyFill="1" applyBorder="1" applyAlignment="1">
      <alignment horizontal="left" vertical="top"/>
    </xf>
    <xf numFmtId="0" fontId="0" fillId="0" borderId="0" xfId="0" applyFont="1" applyBorder="1" applyAlignment="1">
      <alignment vertical="center" wrapText="1"/>
    </xf>
    <xf numFmtId="0" fontId="2" fillId="0" borderId="0" xfId="0" applyFont="1" applyBorder="1" applyAlignment="1">
      <alignment vertical="center" wrapText="1"/>
    </xf>
    <xf numFmtId="0" fontId="16" fillId="0" borderId="5" xfId="0" applyFont="1" applyBorder="1" applyAlignment="1">
      <alignment horizontal="left" wrapText="1"/>
    </xf>
    <xf numFmtId="0" fontId="16" fillId="0" borderId="0" xfId="0" applyFont="1" applyBorder="1" applyAlignment="1">
      <alignment horizontal="left" wrapText="1"/>
    </xf>
  </cellXfs>
  <cellStyles count="7">
    <cellStyle name="20% - Accent5" xfId="1" builtinId="46"/>
    <cellStyle name="Heading 1" xfId="3" builtinId="16" customBuiltin="1"/>
    <cellStyle name="Heading 2" xfId="4" builtinId="17" customBuiltin="1"/>
    <cellStyle name="Heading 3" xfId="5" builtinId="18" customBuiltin="1"/>
    <cellStyle name="Heading 4" xfId="6" builtinId="19" customBuiltin="1"/>
    <cellStyle name="Normal" xfId="0" builtinId="0" customBuiltin="1"/>
    <cellStyle name="Title" xfId="2" builtinId="15" customBuiltin="1"/>
  </cellStyles>
  <dxfs count="37">
    <dxf>
      <border outline="0">
        <top style="thin">
          <color theme="6" tint="0.79998168889431442"/>
        </top>
        <bottom style="thin">
          <color theme="6" tint="0.79998168889431442"/>
        </bottom>
      </border>
    </dxf>
    <dxf>
      <border outline="0">
        <bottom style="thin">
          <color theme="6" tint="0.79998168889431442"/>
        </bottom>
      </border>
    </dxf>
    <dxf>
      <border outline="0">
        <bottom style="thin">
          <color theme="6" tint="0.79998168889431442"/>
        </bottom>
      </border>
    </dxf>
    <dxf>
      <font>
        <b val="0"/>
        <i val="0"/>
        <strike val="0"/>
        <condense val="0"/>
        <extend val="0"/>
        <outline val="0"/>
        <shadow val="0"/>
        <u val="none"/>
        <vertAlign val="baseline"/>
        <sz val="10"/>
        <color auto="1"/>
        <name val="Segoe Print"/>
        <scheme val="minor"/>
      </font>
      <fill>
        <patternFill patternType="none">
          <fgColor indexed="64"/>
          <bgColor indexed="65"/>
        </patternFill>
      </fill>
      <alignment horizontal="left" vertical="center" textRotation="0" wrapText="1" indent="0" relativeIndent="0" justifyLastLine="0" shrinkToFit="0" mergeCell="0" readingOrder="0"/>
    </dxf>
    <dxf>
      <font>
        <b val="0"/>
        <i val="0"/>
        <strike val="0"/>
        <condense val="0"/>
        <extend val="0"/>
        <outline val="0"/>
        <shadow val="0"/>
        <u val="none"/>
        <vertAlign val="baseline"/>
        <sz val="10"/>
        <color auto="1"/>
        <name val="Segoe Print"/>
        <scheme val="minor"/>
      </font>
      <fill>
        <patternFill patternType="none">
          <fgColor indexed="64"/>
          <bgColor indexed="65"/>
        </patternFill>
      </fill>
      <alignment horizontal="left" vertical="center" textRotation="0" wrapText="1" indent="0" relativeIndent="0" justifyLastLine="0" shrinkToFit="0" mergeCell="0" readingOrder="0"/>
    </dxf>
    <dxf>
      <font>
        <b val="0"/>
        <i val="0"/>
        <strike val="0"/>
        <condense val="0"/>
        <extend val="0"/>
        <outline val="0"/>
        <shadow val="0"/>
        <u val="none"/>
        <vertAlign val="baseline"/>
        <sz val="10"/>
        <color auto="1"/>
        <name val="Segoe Print"/>
        <scheme val="minor"/>
      </font>
      <alignment horizontal="left" vertical="center" textRotation="0" wrapText="1" indent="0" relativeIndent="0" justifyLastLine="0" shrinkToFit="0" mergeCell="0" readingOrder="0"/>
    </dxf>
    <dxf>
      <font>
        <b val="0"/>
        <i val="0"/>
        <strike val="0"/>
        <condense val="0"/>
        <extend val="0"/>
        <outline val="0"/>
        <shadow val="0"/>
        <u val="none"/>
        <vertAlign val="baseline"/>
        <sz val="10"/>
        <color auto="1"/>
        <name val="Segoe Print"/>
        <scheme val="minor"/>
      </font>
      <alignment horizontal="left" vertical="center" textRotation="0" wrapText="1" indent="0" relativeIndent="0" justifyLastLine="0" shrinkToFit="0" mergeCell="0" readingOrder="0"/>
    </dxf>
    <dxf>
      <font>
        <b val="0"/>
        <i val="0"/>
        <strike val="0"/>
        <condense val="0"/>
        <extend val="0"/>
        <outline val="0"/>
        <shadow val="0"/>
        <u val="none"/>
        <vertAlign val="baseline"/>
        <sz val="10"/>
        <color auto="1"/>
        <name val="Segoe Print"/>
        <scheme val="minor"/>
      </font>
      <numFmt numFmtId="19" formatCode="m/d/yyyy"/>
      <alignment horizontal="left" vertical="center" textRotation="0" wrapText="1" indent="0" relativeIndent="0" justifyLastLine="0" shrinkToFit="0" mergeCell="0" readingOrder="0"/>
    </dxf>
    <dxf>
      <font>
        <b val="0"/>
        <i val="0"/>
        <strike val="0"/>
        <condense val="0"/>
        <extend val="0"/>
        <outline val="0"/>
        <shadow val="0"/>
        <u val="none"/>
        <vertAlign val="baseline"/>
        <sz val="10"/>
        <color auto="1"/>
        <name val="Segoe Print"/>
        <scheme val="minor"/>
      </font>
      <alignment horizontal="left" vertical="center" textRotation="0" wrapText="1" indent="0" relativeIndent="0" justifyLastLine="0" shrinkToFit="0" mergeCell="0" readingOrder="0"/>
    </dxf>
    <dxf>
      <font>
        <b val="0"/>
        <i val="0"/>
        <strike val="0"/>
        <condense val="0"/>
        <extend val="0"/>
        <outline val="0"/>
        <shadow val="0"/>
        <u val="none"/>
        <vertAlign val="baseline"/>
        <sz val="10"/>
        <color auto="1"/>
        <name val="Segoe Print"/>
        <scheme val="minor"/>
      </font>
      <alignment horizontal="left" vertical="center" textRotation="0" wrapText="1" indent="0" relativeIndent="0" justifyLastLine="0" shrinkToFit="0" mergeCell="0" readingOrder="0"/>
    </dxf>
    <dxf>
      <font>
        <b val="0"/>
        <i val="0"/>
        <strike val="0"/>
        <condense val="0"/>
        <extend val="0"/>
        <outline val="0"/>
        <shadow val="0"/>
        <u val="none"/>
        <vertAlign val="baseline"/>
        <sz val="10"/>
        <color auto="1"/>
        <name val="Segoe Print"/>
        <scheme val="minor"/>
      </font>
      <alignment horizontal="left" vertical="center" textRotation="0" wrapText="1" indent="0" relativeIndent="0" justifyLastLine="0" shrinkToFit="0" mergeCell="0" readingOrder="0"/>
    </dxf>
    <dxf>
      <alignment horizontal="center" vertical="center" textRotation="0" wrapText="0" indent="0" relativeIndent="255" justifyLastLine="0" shrinkToFit="0" readingOrder="0"/>
    </dxf>
    <dxf>
      <fill>
        <patternFill patternType="solid">
          <fgColor rgb="FFFFD1D3"/>
          <bgColor rgb="FFFFFFFF"/>
        </patternFill>
      </fill>
    </dxf>
    <dxf>
      <fill>
        <patternFill patternType="solid">
          <fgColor rgb="FFFFFF00"/>
          <bgColor rgb="FFFFD1D3"/>
        </patternFill>
      </fill>
    </dxf>
    <dxf>
      <fill>
        <patternFill patternType="solid">
          <fgColor rgb="FFFF0000"/>
          <bgColor rgb="FFFFD1D3"/>
        </patternFill>
      </fill>
    </dxf>
    <dxf>
      <border>
        <bottom style="medium">
          <color theme="4" tint="-0.499984740745262"/>
        </bottom>
      </border>
    </dxf>
    <dxf>
      <font>
        <strike val="0"/>
        <outline val="0"/>
        <shadow val="0"/>
        <u val="none"/>
        <vertAlign val="baseline"/>
        <sz val="12"/>
        <color theme="1"/>
        <name val="Courier New"/>
        <scheme val="major"/>
      </font>
      <alignment horizontal="center" vertical="bottom" textRotation="0" wrapText="0" indent="0" relativeIndent="255" justifyLastLine="0" shrinkToFit="0" readingOrder="0"/>
    </dxf>
    <dxf>
      <fill>
        <patternFill>
          <bgColor theme="8" tint="-0.24994659260841701"/>
        </patternFill>
      </fill>
    </dxf>
    <dxf>
      <font>
        <color auto="1"/>
      </font>
      <fill>
        <patternFill>
          <bgColor theme="8" tint="0.39994506668294322"/>
        </patternFill>
      </fill>
    </dxf>
    <dxf>
      <fill>
        <patternFill>
          <bgColor theme="1" tint="0.34998626667073579"/>
        </patternFill>
      </fill>
    </dxf>
    <dxf>
      <fill>
        <patternFill>
          <bgColor rgb="FFFF0000"/>
        </patternFill>
      </fill>
    </dxf>
    <dxf>
      <fill>
        <patternFill>
          <bgColor rgb="FFFF6600"/>
        </patternFill>
      </fill>
    </dxf>
    <dxf>
      <font>
        <color theme="0"/>
      </font>
      <fill>
        <patternFill>
          <bgColor rgb="FF7030A0"/>
        </patternFill>
      </fill>
    </dxf>
    <dxf>
      <fill>
        <patternFill>
          <bgColor theme="1" tint="0.34998626667073579"/>
        </patternFill>
      </fill>
    </dxf>
    <dxf>
      <font>
        <color auto="1"/>
      </font>
      <fill>
        <patternFill>
          <bgColor theme="1" tint="0.34998626667073579"/>
        </patternFill>
      </fill>
    </dxf>
    <dxf>
      <font>
        <color auto="1"/>
      </font>
      <fill>
        <patternFill>
          <bgColor theme="1" tint="0.34998626667073579"/>
        </patternFill>
      </fill>
    </dxf>
    <dxf>
      <font>
        <b/>
        <i val="0"/>
        <color rgb="FF00B050"/>
      </font>
    </dxf>
    <dxf>
      <fill>
        <patternFill>
          <bgColor theme="5" tint="0.79998168889431442"/>
        </patternFill>
      </fill>
    </dxf>
    <dxf>
      <font>
        <b/>
        <i val="0"/>
        <color theme="6" tint="-0.24994659260841701"/>
      </font>
      <fill>
        <patternFill>
          <bgColor theme="7" tint="0.79998168889431442"/>
        </patternFill>
      </fill>
    </dxf>
    <dxf>
      <font>
        <b/>
        <i val="0"/>
        <color rgb="FF00B050"/>
      </font>
      <fill>
        <patternFill>
          <bgColor rgb="FFFFFF00"/>
        </patternFill>
      </fill>
    </dxf>
    <dxf>
      <font>
        <b/>
        <i val="0"/>
        <color rgb="FFFFFF4F"/>
      </font>
      <fill>
        <patternFill patternType="solid">
          <bgColor rgb="FFFF0000"/>
        </patternFill>
      </fill>
    </dxf>
    <dxf>
      <font>
        <b/>
        <i val="0"/>
        <color theme="5" tint="-0.24994659260841701"/>
      </font>
    </dxf>
    <dxf>
      <font>
        <color rgb="FFFF0000"/>
      </font>
    </dxf>
    <dxf>
      <font>
        <strike/>
        <color theme="2" tint="-0.34998626667073579"/>
      </font>
      <fill>
        <patternFill patternType="none">
          <bgColor auto="1"/>
        </patternFill>
      </fill>
    </dxf>
    <dxf>
      <font>
        <condense val="0"/>
        <extend val="0"/>
        <color rgb="FF9C0006"/>
      </font>
      <fill>
        <patternFill>
          <bgColor theme="6" tint="0.79998168889431442"/>
        </patternFill>
      </fill>
    </dxf>
    <dxf>
      <border>
        <bottom style="thin">
          <color auto="1"/>
        </bottom>
        <vertical/>
      </border>
    </dxf>
    <dxf>
      <font>
        <color theme="3" tint="0.499984740745262"/>
      </font>
      <fill>
        <patternFill patternType="none">
          <bgColor auto="1"/>
        </patternFill>
      </fill>
      <border diagonalUp="0" diagonalDown="0">
        <left/>
        <right/>
        <top/>
        <bottom style="thin">
          <color theme="6" tint="0.79998168889431442"/>
        </bottom>
        <vertical/>
        <horizontal style="thin">
          <color theme="6" tint="0.79998168889431442"/>
        </horizontal>
      </border>
    </dxf>
  </dxfs>
  <tableStyles count="1" defaultTableStyle="To Do List" defaultPivotStyle="PivotStyleLight18">
    <tableStyle name="To Do List" pivot="0" count="2">
      <tableStyleElement type="wholeTable" dxfId="36"/>
      <tableStyleElement type="headerRow" dxfId="35"/>
    </tableStyle>
  </tableStyles>
  <colors>
    <mruColors>
      <color rgb="FFFFFF4F"/>
      <color rgb="FFD57515"/>
      <color rgb="FF0000FF"/>
      <color rgb="FF00E266"/>
      <color rgb="FFF63636"/>
    </mruColors>
  </colors>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hyperlink" Target="#'Assignment Setup'!A1"/></Relationships>
</file>

<file path=xl/drawings/_rels/drawing2.xml.rels><?xml version="1.0" encoding="UTF-8" standalone="yes"?>
<Relationships xmlns="http://schemas.openxmlformats.org/package/2006/relationships"><Relationship Id="rId1" Type="http://schemas.openxmlformats.org/officeDocument/2006/relationships/hyperlink" Target="#'To Do List'!A1"/></Relationships>
</file>

<file path=xl/drawings/drawing1.xml><?xml version="1.0" encoding="utf-8"?>
<xdr:wsDr xmlns:xdr="http://schemas.openxmlformats.org/drawingml/2006/spreadsheetDrawing" xmlns:a="http://schemas.openxmlformats.org/drawingml/2006/main">
  <xdr:twoCellAnchor>
    <xdr:from>
      <xdr:col>2</xdr:col>
      <xdr:colOff>2809877</xdr:colOff>
      <xdr:row>0</xdr:row>
      <xdr:rowOff>152400</xdr:rowOff>
    </xdr:from>
    <xdr:to>
      <xdr:col>6</xdr:col>
      <xdr:colOff>1028700</xdr:colOff>
      <xdr:row>3</xdr:row>
      <xdr:rowOff>161925</xdr:rowOff>
    </xdr:to>
    <xdr:sp macro="" textlink="">
      <xdr:nvSpPr>
        <xdr:cNvPr id="5" name="Filter and Sort Tip" descr="Click the Assigned To or Priority drop down arrow to Filter or Sort your To Do List items.&#10;&#10;The background image and tips do not print."/>
        <xdr:cNvSpPr txBox="1"/>
      </xdr:nvSpPr>
      <xdr:spPr>
        <a:xfrm>
          <a:off x="4924427" y="152400"/>
          <a:ext cx="3105148" cy="942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r>
            <a:rPr lang="en-US" sz="900">
              <a:solidFill>
                <a:schemeClr val="tx1">
                  <a:lumMod val="85000"/>
                  <a:lumOff val="15000"/>
                </a:schemeClr>
              </a:solidFill>
            </a:rPr>
            <a:t>Click a</a:t>
          </a:r>
          <a:r>
            <a:rPr lang="en-US" sz="900" baseline="0">
              <a:solidFill>
                <a:schemeClr val="tx1">
                  <a:lumMod val="85000"/>
                  <a:lumOff val="15000"/>
                </a:schemeClr>
              </a:solidFill>
            </a:rPr>
            <a:t> drop down arrow, such as </a:t>
          </a:r>
          <a:r>
            <a:rPr lang="en-US" sz="900">
              <a:solidFill>
                <a:schemeClr val="tx1">
                  <a:lumMod val="85000"/>
                  <a:lumOff val="15000"/>
                </a:schemeClr>
              </a:solidFill>
            </a:rPr>
            <a:t>Assigned To or Priority,</a:t>
          </a:r>
          <a:r>
            <a:rPr lang="en-US" sz="900" baseline="0">
              <a:solidFill>
                <a:schemeClr val="tx1">
                  <a:lumMod val="85000"/>
                  <a:lumOff val="15000"/>
                </a:schemeClr>
              </a:solidFill>
            </a:rPr>
            <a:t> </a:t>
          </a:r>
          <a:r>
            <a:rPr lang="en-US" sz="900">
              <a:solidFill>
                <a:schemeClr val="tx1">
                  <a:lumMod val="85000"/>
                  <a:lumOff val="15000"/>
                </a:schemeClr>
              </a:solidFill>
            </a:rPr>
            <a:t>to Filter or Sort your To Do List items.</a:t>
          </a:r>
        </a:p>
        <a:p>
          <a:endParaRPr lang="en-US" sz="900">
            <a:solidFill>
              <a:schemeClr val="tx1">
                <a:lumMod val="85000"/>
                <a:lumOff val="15000"/>
              </a:schemeClr>
            </a:solidFill>
          </a:endParaRPr>
        </a:p>
        <a:p>
          <a:r>
            <a:rPr lang="en-US" sz="900">
              <a:solidFill>
                <a:schemeClr val="tx1">
                  <a:lumMod val="85000"/>
                  <a:lumOff val="15000"/>
                </a:schemeClr>
              </a:solidFill>
            </a:rPr>
            <a:t>The background image and </a:t>
          </a:r>
          <a:r>
            <a:rPr lang="en-US" sz="900" baseline="0">
              <a:solidFill>
                <a:schemeClr val="tx1">
                  <a:lumMod val="85000"/>
                  <a:lumOff val="15000"/>
                </a:schemeClr>
              </a:solidFill>
            </a:rPr>
            <a:t>tips </a:t>
          </a:r>
          <a:r>
            <a:rPr lang="en-US" sz="900">
              <a:solidFill>
                <a:schemeClr val="tx1">
                  <a:lumMod val="85000"/>
                  <a:lumOff val="15000"/>
                </a:schemeClr>
              </a:solidFill>
            </a:rPr>
            <a:t>do not print.</a:t>
          </a:r>
        </a:p>
      </xdr:txBody>
    </xdr:sp>
    <xdr:clientData fPrintsWithSheet="0"/>
  </xdr:twoCellAnchor>
  <xdr:twoCellAnchor>
    <xdr:from>
      <xdr:col>2</xdr:col>
      <xdr:colOff>0</xdr:colOff>
      <xdr:row>2</xdr:row>
      <xdr:rowOff>28576</xdr:rowOff>
    </xdr:from>
    <xdr:to>
      <xdr:col>2</xdr:col>
      <xdr:colOff>323022</xdr:colOff>
      <xdr:row>3</xdr:row>
      <xdr:rowOff>1</xdr:rowOff>
    </xdr:to>
    <xdr:sp macro="" textlink="DueToday">
      <xdr:nvSpPr>
        <xdr:cNvPr id="6" name="Due Today" descr="&quot;&quot;"/>
        <xdr:cNvSpPr/>
      </xdr:nvSpPr>
      <xdr:spPr>
        <a:xfrm>
          <a:off x="985630" y="682902"/>
          <a:ext cx="323022" cy="211621"/>
        </a:xfrm>
        <a:prstGeom prst="rect">
          <a:avLst/>
        </a:prstGeom>
        <a:solidFill>
          <a:schemeClr val="accent4">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fld id="{2F027B4C-61F8-43A9-9EC6-F1C4DE41E770}" type="TxLink">
            <a:rPr lang="en-US" sz="1200" b="1" i="0" u="none" strike="noStrike">
              <a:solidFill>
                <a:schemeClr val="accent3"/>
              </a:solidFill>
              <a:latin typeface="+mj-lt"/>
              <a:cs typeface="Courier New"/>
            </a:rPr>
            <a:pPr algn="ctr"/>
            <a:t>0</a:t>
          </a:fld>
          <a:endParaRPr lang="en-US" sz="1200" b="1">
            <a:solidFill>
              <a:schemeClr val="accent3"/>
            </a:solidFill>
            <a:latin typeface="+mj-lt"/>
          </a:endParaRPr>
        </a:p>
      </xdr:txBody>
    </xdr:sp>
    <xdr:clientData/>
  </xdr:twoCellAnchor>
  <xdr:twoCellAnchor>
    <xdr:from>
      <xdr:col>7</xdr:col>
      <xdr:colOff>347870</xdr:colOff>
      <xdr:row>1</xdr:row>
      <xdr:rowOff>38100</xdr:rowOff>
    </xdr:from>
    <xdr:to>
      <xdr:col>7</xdr:col>
      <xdr:colOff>1238251</xdr:colOff>
      <xdr:row>2</xdr:row>
      <xdr:rowOff>152400</xdr:rowOff>
    </xdr:to>
    <xdr:sp macro="" textlink="">
      <xdr:nvSpPr>
        <xdr:cNvPr id="2" name="Setup" descr="Click to view Assignment Setup">
          <a:hlinkClick xmlns:r="http://schemas.openxmlformats.org/officeDocument/2006/relationships" r:id="rId1" tooltip="Click to view Assignment Setup"/>
        </xdr:cNvPr>
        <xdr:cNvSpPr txBox="1"/>
      </xdr:nvSpPr>
      <xdr:spPr>
        <a:xfrm>
          <a:off x="9823174" y="419100"/>
          <a:ext cx="890381" cy="3876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u="sng" baseline="0">
              <a:uFill>
                <a:solidFill>
                  <a:schemeClr val="tx1">
                    <a:lumMod val="75000"/>
                    <a:lumOff val="25000"/>
                  </a:schemeClr>
                </a:solidFill>
              </a:uFill>
              <a:latin typeface="+mj-lt"/>
            </a:rPr>
            <a:t>Setup &gt;</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xdr:from>
      <xdr:col>7</xdr:col>
      <xdr:colOff>485775</xdr:colOff>
      <xdr:row>1</xdr:row>
      <xdr:rowOff>0</xdr:rowOff>
    </xdr:from>
    <xdr:to>
      <xdr:col>9</xdr:col>
      <xdr:colOff>276225</xdr:colOff>
      <xdr:row>1</xdr:row>
      <xdr:rowOff>390525</xdr:rowOff>
    </xdr:to>
    <xdr:sp macro="" textlink="">
      <xdr:nvSpPr>
        <xdr:cNvPr id="2" name="To Do List" descr="Click to view the To Do List">
          <a:hlinkClick xmlns:r="http://schemas.openxmlformats.org/officeDocument/2006/relationships" r:id="rId1" tooltip="Click to view the To Do List"/>
        </xdr:cNvPr>
        <xdr:cNvSpPr txBox="1"/>
      </xdr:nvSpPr>
      <xdr:spPr>
        <a:xfrm>
          <a:off x="8448675" y="447675"/>
          <a:ext cx="1619250"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u="sng" baseline="0">
              <a:uFill>
                <a:solidFill>
                  <a:schemeClr val="tx1">
                    <a:lumMod val="75000"/>
                    <a:lumOff val="25000"/>
                  </a:schemeClr>
                </a:solidFill>
              </a:uFill>
              <a:latin typeface="+mj-lt"/>
            </a:rPr>
            <a:t>&lt; To Do List</a:t>
          </a:r>
        </a:p>
      </xdr:txBody>
    </xdr:sp>
    <xdr:clientData fPrintsWithSheet="0"/>
  </xdr:twoCellAnchor>
  <xdr:twoCellAnchor>
    <xdr:from>
      <xdr:col>5</xdr:col>
      <xdr:colOff>295275</xdr:colOff>
      <xdr:row>2</xdr:row>
      <xdr:rowOff>285750</xdr:rowOff>
    </xdr:from>
    <xdr:to>
      <xdr:col>8</xdr:col>
      <xdr:colOff>114300</xdr:colOff>
      <xdr:row>6</xdr:row>
      <xdr:rowOff>257175</xdr:rowOff>
    </xdr:to>
    <xdr:sp macro="" textlink="">
      <xdr:nvSpPr>
        <xdr:cNvPr id="3" name="Formatting Tip" descr="Want to view all of the columns? &#10;Press Ctrl + A to select the worksheet and then on the right-click any column heading and then click Unhide.&#10;"/>
        <xdr:cNvSpPr txBox="1"/>
      </xdr:nvSpPr>
      <xdr:spPr>
        <a:xfrm rot="21195867">
          <a:off x="6429375" y="1428750"/>
          <a:ext cx="2562225" cy="1095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chemeClr val="tx2">
                  <a:lumMod val="85000"/>
                  <a:lumOff val="15000"/>
                </a:schemeClr>
              </a:solidFill>
            </a:rPr>
            <a:t>Want to view all of the columns? </a:t>
          </a:r>
        </a:p>
        <a:p>
          <a:r>
            <a:rPr lang="en-US" sz="900">
              <a:solidFill>
                <a:schemeClr val="tx2">
                  <a:lumMod val="85000"/>
                  <a:lumOff val="15000"/>
                </a:schemeClr>
              </a:solidFill>
            </a:rPr>
            <a:t>Press </a:t>
          </a:r>
          <a:r>
            <a:rPr lang="en-US" sz="900" b="1">
              <a:solidFill>
                <a:schemeClr val="tx2">
                  <a:lumMod val="85000"/>
                  <a:lumOff val="15000"/>
                </a:schemeClr>
              </a:solidFill>
            </a:rPr>
            <a:t>Ctrl +</a:t>
          </a:r>
          <a:r>
            <a:rPr lang="en-US" sz="900" b="1" baseline="0">
              <a:solidFill>
                <a:schemeClr val="tx2">
                  <a:lumMod val="85000"/>
                  <a:lumOff val="15000"/>
                </a:schemeClr>
              </a:solidFill>
            </a:rPr>
            <a:t> A </a:t>
          </a:r>
          <a:r>
            <a:rPr lang="en-US" sz="900" baseline="0">
              <a:solidFill>
                <a:schemeClr val="tx2">
                  <a:lumMod val="85000"/>
                  <a:lumOff val="15000"/>
                </a:schemeClr>
              </a:solidFill>
            </a:rPr>
            <a:t>to select the worksheet,  right-click any column heading, and then click </a:t>
          </a:r>
          <a:r>
            <a:rPr lang="en-US" sz="900" b="1" baseline="0">
              <a:solidFill>
                <a:schemeClr val="tx2">
                  <a:lumMod val="85000"/>
                  <a:lumOff val="15000"/>
                </a:schemeClr>
              </a:solidFill>
            </a:rPr>
            <a:t>Unhide</a:t>
          </a:r>
          <a:r>
            <a:rPr lang="en-US" sz="900" baseline="0">
              <a:solidFill>
                <a:schemeClr val="tx2">
                  <a:lumMod val="85000"/>
                  <a:lumOff val="15000"/>
                </a:schemeClr>
              </a:solidFill>
            </a:rPr>
            <a:t>.</a:t>
          </a:r>
          <a:endParaRPr lang="en-US" sz="900">
            <a:solidFill>
              <a:schemeClr val="tx2">
                <a:lumMod val="85000"/>
                <a:lumOff val="15000"/>
              </a:schemeClr>
            </a:solidFill>
          </a:endParaRPr>
        </a:p>
      </xdr:txBody>
    </xdr:sp>
    <xdr:clientData fPrintsWithSheet="0"/>
  </xdr:twoCellAnchor>
</xdr:wsDr>
</file>

<file path=xl/tables/table1.xml><?xml version="1.0" encoding="utf-8"?>
<table xmlns="http://schemas.openxmlformats.org/spreadsheetml/2006/main" id="2" name="tblToDoList" displayName="tblToDoList" ref="B5:J686" totalsRowShown="0" headerRowDxfId="16" headerRowBorderDxfId="15">
  <autoFilter ref="B5:J686">
    <filterColumn colId="0"/>
  </autoFilter>
  <sortState ref="B8:J674">
    <sortCondition sortBy="cellColor" ref="D6:D657" dxfId="14"/>
    <sortCondition sortBy="cellColor" ref="D6:D657" dxfId="13"/>
    <sortCondition sortBy="cellColor" ref="D6:D657" dxfId="12"/>
    <sortCondition ref="G6:G657"/>
  </sortState>
  <tableColumns count="9">
    <tableColumn id="1" name="Done" dataDxfId="11"/>
    <tableColumn id="2" name="Description" dataDxfId="10"/>
    <tableColumn id="10" name="Open Date" dataDxfId="9"/>
    <tableColumn id="8" name="Check Date" dataDxfId="8"/>
    <tableColumn id="3" name="Due Date" dataDxfId="7"/>
    <tableColumn id="4" name="Priority" dataDxfId="6"/>
    <tableColumn id="5" name="Assigned to" dataDxfId="5"/>
    <tableColumn id="7" name="Close Date" dataDxfId="4"/>
    <tableColumn id="6" name="Notes" dataDxfId="3"/>
  </tableColumns>
  <tableStyleInfo name="To Do List" showFirstColumn="1" showLastColumn="0" showRowStripes="1" showColumnStripes="0"/>
</table>
</file>

<file path=xl/tables/table2.xml><?xml version="1.0" encoding="utf-8"?>
<table xmlns="http://schemas.openxmlformats.org/spreadsheetml/2006/main" id="4" name="tblColorKey" displayName="tblColorKey" ref="C4:C72" totalsRowShown="0" headerRowBorderDxfId="2">
  <autoFilter ref="C4:C72"/>
  <sortState ref="C5:C63">
    <sortCondition ref="C4:C63"/>
  </sortState>
  <tableColumns count="1">
    <tableColumn id="1" name="Assigned To"/>
  </tableColumns>
  <tableStyleInfo name="To Do List" showFirstColumn="0" showLastColumn="0" showRowStripes="1" showColumnStripes="0"/>
</table>
</file>

<file path=xl/tables/table3.xml><?xml version="1.0" encoding="utf-8"?>
<table xmlns="http://schemas.openxmlformats.org/spreadsheetml/2006/main" id="5" name="tblPriority" displayName="tblPriority" ref="D4:D8" totalsRowShown="0" headerRowBorderDxfId="1" tableBorderDxfId="0">
  <tableColumns count="1">
    <tableColumn id="1" name="Priority"/>
  </tableColumns>
  <tableStyleInfo name="To Do List" showFirstColumn="0" showLastColumn="0" showRowStripes="1" showColumnStripes="0"/>
</table>
</file>

<file path=xl/theme/theme1.xml><?xml version="1.0" encoding="utf-8"?>
<a:theme xmlns:a="http://schemas.openxmlformats.org/drawingml/2006/main" name="Office Theme">
  <a:themeElements>
    <a:clrScheme name="To Do List">
      <a:dk1>
        <a:sysClr val="windowText" lastClr="000000"/>
      </a:dk1>
      <a:lt1>
        <a:sysClr val="window" lastClr="FFFFFF"/>
      </a:lt1>
      <a:dk2>
        <a:srgbClr val="000000"/>
      </a:dk2>
      <a:lt2>
        <a:srgbClr val="FFFFFF"/>
      </a:lt2>
      <a:accent1>
        <a:srgbClr val="7AC843"/>
      </a:accent1>
      <a:accent2>
        <a:srgbClr val="FF1D26"/>
      </a:accent2>
      <a:accent3>
        <a:srgbClr val="3F91F4"/>
      </a:accent3>
      <a:accent4>
        <a:srgbClr val="FF921E"/>
      </a:accent4>
      <a:accent5>
        <a:srgbClr val="9C5DBD"/>
      </a:accent5>
      <a:accent6>
        <a:srgbClr val="FFE339"/>
      </a:accent6>
      <a:hlink>
        <a:srgbClr val="3F91F4"/>
      </a:hlink>
      <a:folHlink>
        <a:srgbClr val="9B5DBD"/>
      </a:folHlink>
    </a:clrScheme>
    <a:fontScheme name="To Do List">
      <a:majorFont>
        <a:latin typeface="Courier New"/>
        <a:ea typeface=""/>
        <a:cs typeface=""/>
      </a:majorFont>
      <a:minorFont>
        <a:latin typeface="Segoe Print"/>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3.xml"/><Relationship Id="rId4"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sheetPr codeName="Sheet2"/>
  <dimension ref="A1:D15"/>
  <sheetViews>
    <sheetView workbookViewId="0">
      <selection activeCell="D6" sqref="D6"/>
    </sheetView>
  </sheetViews>
  <sheetFormatPr defaultRowHeight="23.25"/>
  <cols>
    <col min="1" max="1" width="8.7265625" style="3"/>
    <col min="2" max="2" width="4.453125" customWidth="1"/>
    <col min="3" max="3" width="3.1796875" customWidth="1"/>
    <col min="4" max="4" width="45.90625" customWidth="1"/>
  </cols>
  <sheetData>
    <row r="1" spans="2:4">
      <c r="D1" s="45"/>
    </row>
    <row r="15" spans="2:4" ht="24" customHeight="1">
      <c r="B15" s="46"/>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Sheet1">
    <tabColor theme="7" tint="0.59999389629810485"/>
    <pageSetUpPr autoPageBreaks="0" fitToPage="1"/>
  </sheetPr>
  <dimension ref="A1:U686"/>
  <sheetViews>
    <sheetView showGridLines="0" tabSelected="1" topLeftCell="A2" zoomScale="115" zoomScaleNormal="115" workbookViewId="0">
      <selection activeCell="C688" sqref="C688"/>
    </sheetView>
  </sheetViews>
  <sheetFormatPr defaultColWidth="0" defaultRowHeight="29.25" customHeight="1"/>
  <cols>
    <col min="1" max="1" width="2.54296875" style="19" customWidth="1"/>
    <col min="2" max="2" width="6.90625" style="2" customWidth="1"/>
    <col min="3" max="3" width="58.453125" style="57" customWidth="1"/>
    <col min="4" max="4" width="9.1796875" style="51" customWidth="1"/>
    <col min="5" max="5" width="11.81640625" customWidth="1"/>
    <col min="6" max="6" width="9.81640625" style="2" customWidth="1"/>
    <col min="7" max="7" width="8.36328125" style="2" customWidth="1"/>
    <col min="8" max="8" width="11.81640625" style="2" customWidth="1"/>
    <col min="9" max="9" width="10.1796875" style="2" customWidth="1"/>
    <col min="10" max="10" width="18.453125" style="2" customWidth="1"/>
    <col min="11" max="11" width="7.6328125" style="2" customWidth="1"/>
    <col min="12" max="12" width="20.08984375" hidden="1" customWidth="1"/>
    <col min="13" max="13" width="17.1796875" style="2" hidden="1" customWidth="1"/>
    <col min="14" max="18" width="0" style="2" hidden="1" customWidth="1"/>
    <col min="19" max="21" width="0" hidden="1" customWidth="1"/>
    <col min="22" max="16384" width="8.7265625" hidden="1"/>
  </cols>
  <sheetData>
    <row r="1" spans="1:21" ht="30" customHeight="1">
      <c r="A1" s="14" t="s">
        <v>0</v>
      </c>
      <c r="B1" s="5" t="s">
        <v>11</v>
      </c>
      <c r="C1" s="54"/>
      <c r="D1" s="48"/>
      <c r="E1" s="4"/>
      <c r="F1" s="5"/>
      <c r="G1" s="8"/>
      <c r="H1" s="13"/>
      <c r="I1" s="13"/>
      <c r="J1" s="13"/>
      <c r="K1" s="13"/>
      <c r="L1" s="4"/>
      <c r="M1" s="1"/>
      <c r="N1" s="1"/>
      <c r="O1" s="1"/>
      <c r="P1" s="1"/>
      <c r="Q1" s="1"/>
      <c r="R1" s="1"/>
      <c r="S1" s="2"/>
      <c r="T1" s="2"/>
      <c r="U1" s="2"/>
    </row>
    <row r="2" spans="1:21" ht="21.75" customHeight="1">
      <c r="A2" s="14"/>
      <c r="B2" s="61">
        <f ca="1">TODAY()</f>
        <v>42275</v>
      </c>
      <c r="C2" s="62"/>
      <c r="D2" s="52"/>
      <c r="E2" s="43"/>
      <c r="F2" s="5"/>
      <c r="G2" s="6"/>
      <c r="H2" s="6"/>
      <c r="I2" s="6"/>
      <c r="J2" s="7"/>
      <c r="K2" s="7"/>
      <c r="L2" s="4"/>
      <c r="M2" s="1"/>
      <c r="N2" s="1"/>
      <c r="O2" s="1"/>
      <c r="P2" s="1"/>
      <c r="Q2" s="1"/>
      <c r="R2" s="1"/>
      <c r="S2" s="2"/>
      <c r="T2" s="2"/>
      <c r="U2" s="2"/>
    </row>
    <row r="3" spans="1:21" s="4" customFormat="1" ht="18.75" customHeight="1">
      <c r="A3" s="15"/>
      <c r="B3" s="23" t="s">
        <v>8</v>
      </c>
      <c r="C3" s="55">
        <f ca="1">COUNTIFS(tblToDoList[Due Date],TODAY(),tblToDoList[Done],"&lt;&gt;1")</f>
        <v>0</v>
      </c>
      <c r="D3" s="49"/>
      <c r="E3" s="12"/>
      <c r="L3" s="7"/>
      <c r="N3" s="7"/>
      <c r="O3" s="7"/>
      <c r="P3" s="7"/>
      <c r="Q3" s="7"/>
      <c r="R3" s="7"/>
      <c r="S3" s="8"/>
      <c r="T3" s="8"/>
      <c r="U3" s="8"/>
    </row>
    <row r="4" spans="1:21" s="4" customFormat="1" ht="17.25" customHeight="1">
      <c r="A4" s="16"/>
      <c r="B4" s="24" t="s">
        <v>9</v>
      </c>
      <c r="C4" s="50">
        <f ca="1">COUNTIFS(tblToDoList[Due Date],"&lt;"&amp;TODAY(),tblToDoList[Done],"&lt;&gt;1")</f>
        <v>1</v>
      </c>
      <c r="D4" s="50"/>
      <c r="E4" s="25"/>
      <c r="F4" s="8"/>
    </row>
    <row r="5" spans="1:21" s="10" customFormat="1" ht="27.75" customHeight="1">
      <c r="A5" s="17"/>
      <c r="B5" s="26" t="s">
        <v>2</v>
      </c>
      <c r="C5" s="56" t="s">
        <v>1</v>
      </c>
      <c r="D5" s="44" t="s">
        <v>429</v>
      </c>
      <c r="E5" s="44" t="s">
        <v>317</v>
      </c>
      <c r="F5" s="30" t="s">
        <v>3</v>
      </c>
      <c r="G5" s="30" t="s">
        <v>4</v>
      </c>
      <c r="H5" s="30" t="s">
        <v>7</v>
      </c>
      <c r="I5" s="30" t="s">
        <v>87</v>
      </c>
      <c r="J5" s="30" t="s">
        <v>12</v>
      </c>
      <c r="N5" s="9"/>
      <c r="O5" s="9"/>
      <c r="P5" s="9"/>
      <c r="Q5" s="9"/>
      <c r="R5" s="9"/>
      <c r="S5" s="9"/>
    </row>
    <row r="6" spans="1:21" ht="56.25" hidden="1" customHeight="1">
      <c r="A6" s="20"/>
      <c r="B6" s="40">
        <v>1</v>
      </c>
      <c r="C6" s="32" t="s">
        <v>734</v>
      </c>
      <c r="D6" s="58">
        <v>42153</v>
      </c>
      <c r="E6" s="58">
        <v>42155</v>
      </c>
      <c r="F6" s="38">
        <v>42156</v>
      </c>
      <c r="G6" s="39" t="s">
        <v>24</v>
      </c>
      <c r="H6" s="39" t="s">
        <v>13</v>
      </c>
      <c r="I6" s="38">
        <v>42167</v>
      </c>
      <c r="J6" s="39"/>
      <c r="M6"/>
      <c r="N6"/>
      <c r="O6"/>
      <c r="P6"/>
      <c r="Q6"/>
      <c r="R6"/>
    </row>
    <row r="7" spans="1:21" ht="29.25" hidden="1" customHeight="1">
      <c r="A7" s="18"/>
      <c r="B7" s="40">
        <v>1</v>
      </c>
      <c r="C7" s="32" t="s">
        <v>695</v>
      </c>
      <c r="D7" s="58">
        <v>42138</v>
      </c>
      <c r="E7" s="58">
        <v>42138</v>
      </c>
      <c r="F7" s="38">
        <v>42139</v>
      </c>
      <c r="G7" s="39" t="s">
        <v>25</v>
      </c>
      <c r="H7" s="39" t="s">
        <v>13</v>
      </c>
      <c r="I7" s="38">
        <v>42149</v>
      </c>
      <c r="J7" s="39"/>
      <c r="M7"/>
      <c r="N7"/>
      <c r="O7"/>
      <c r="P7"/>
      <c r="Q7"/>
      <c r="R7"/>
    </row>
    <row r="8" spans="1:21" ht="84.75" hidden="1" customHeight="1">
      <c r="A8" s="18"/>
      <c r="B8" s="40">
        <v>1</v>
      </c>
      <c r="C8" s="32" t="s">
        <v>733</v>
      </c>
      <c r="D8" s="58">
        <v>42158</v>
      </c>
      <c r="E8" s="58">
        <v>42174</v>
      </c>
      <c r="F8" s="38">
        <v>42174</v>
      </c>
      <c r="G8" s="39" t="s">
        <v>24</v>
      </c>
      <c r="H8" s="39" t="s">
        <v>34</v>
      </c>
      <c r="I8" s="39"/>
      <c r="J8" s="39"/>
      <c r="M8"/>
      <c r="N8"/>
      <c r="O8"/>
      <c r="P8"/>
      <c r="Q8"/>
      <c r="R8"/>
    </row>
    <row r="9" spans="1:21" ht="66" hidden="1" customHeight="1">
      <c r="A9" s="18"/>
      <c r="B9" s="31">
        <v>1</v>
      </c>
      <c r="C9" s="32" t="s">
        <v>704</v>
      </c>
      <c r="D9" s="58">
        <v>42128</v>
      </c>
      <c r="E9" s="58">
        <v>42143</v>
      </c>
      <c r="F9" s="38">
        <v>42139</v>
      </c>
      <c r="G9" s="39" t="s">
        <v>24</v>
      </c>
      <c r="H9" s="39" t="s">
        <v>209</v>
      </c>
      <c r="I9" s="38">
        <v>42156</v>
      </c>
      <c r="J9" s="39" t="s">
        <v>669</v>
      </c>
      <c r="M9"/>
      <c r="N9"/>
      <c r="O9"/>
      <c r="P9"/>
      <c r="Q9"/>
      <c r="R9"/>
    </row>
    <row r="10" spans="1:21" ht="58.5" hidden="1" customHeight="1">
      <c r="A10" s="18"/>
      <c r="B10" s="31">
        <v>1</v>
      </c>
      <c r="C10" s="32" t="s">
        <v>736</v>
      </c>
      <c r="D10" s="58">
        <v>42131</v>
      </c>
      <c r="E10" s="58">
        <v>42166</v>
      </c>
      <c r="F10" s="38">
        <v>42171</v>
      </c>
      <c r="G10" s="39" t="s">
        <v>25</v>
      </c>
      <c r="H10" s="39" t="s">
        <v>327</v>
      </c>
      <c r="I10" s="38">
        <v>42167</v>
      </c>
      <c r="J10" s="39"/>
      <c r="M10"/>
      <c r="N10"/>
      <c r="O10"/>
      <c r="P10"/>
      <c r="Q10"/>
      <c r="R10"/>
    </row>
    <row r="11" spans="1:21" ht="43.5" hidden="1" customHeight="1">
      <c r="A11" s="18"/>
      <c r="B11" s="31">
        <v>1</v>
      </c>
      <c r="C11" s="32" t="s">
        <v>696</v>
      </c>
      <c r="D11" s="58">
        <v>42135</v>
      </c>
      <c r="E11" s="58">
        <v>42143</v>
      </c>
      <c r="F11" s="38">
        <v>42144</v>
      </c>
      <c r="G11" s="39" t="s">
        <v>24</v>
      </c>
      <c r="H11" s="39" t="s">
        <v>681</v>
      </c>
      <c r="I11" s="38">
        <v>42149</v>
      </c>
      <c r="J11" s="39"/>
      <c r="M11"/>
      <c r="N11"/>
      <c r="O11"/>
      <c r="P11"/>
      <c r="Q11"/>
      <c r="R11"/>
    </row>
    <row r="12" spans="1:21" ht="29.25" hidden="1" customHeight="1">
      <c r="A12" s="18"/>
      <c r="B12" s="31">
        <v>1</v>
      </c>
      <c r="C12" s="60" t="s">
        <v>697</v>
      </c>
      <c r="D12" s="58">
        <v>42131</v>
      </c>
      <c r="E12" s="58">
        <v>42142</v>
      </c>
      <c r="F12" s="38">
        <v>42144</v>
      </c>
      <c r="G12" s="39" t="s">
        <v>25</v>
      </c>
      <c r="H12" s="39" t="s">
        <v>15</v>
      </c>
      <c r="I12" s="38">
        <v>42149</v>
      </c>
      <c r="J12" s="39"/>
      <c r="M12"/>
      <c r="N12"/>
      <c r="O12"/>
      <c r="P12"/>
      <c r="Q12"/>
      <c r="R12"/>
    </row>
    <row r="13" spans="1:21" ht="42.75" hidden="1" customHeight="1">
      <c r="A13" s="18"/>
      <c r="B13" s="31">
        <v>1</v>
      </c>
      <c r="C13" s="32" t="s">
        <v>698</v>
      </c>
      <c r="D13" s="58">
        <v>42139</v>
      </c>
      <c r="E13" s="58">
        <v>42142</v>
      </c>
      <c r="F13" s="38">
        <v>42142</v>
      </c>
      <c r="G13" s="39" t="s">
        <v>24</v>
      </c>
      <c r="H13" s="39" t="s">
        <v>209</v>
      </c>
      <c r="I13" s="38">
        <v>42149</v>
      </c>
      <c r="J13" s="39"/>
    </row>
    <row r="14" spans="1:21" ht="40.5" hidden="1" customHeight="1">
      <c r="A14" s="18"/>
      <c r="B14" s="31">
        <v>1</v>
      </c>
      <c r="C14" s="32" t="s">
        <v>692</v>
      </c>
      <c r="D14" s="58">
        <v>42138</v>
      </c>
      <c r="E14" s="58">
        <v>42143</v>
      </c>
      <c r="F14" s="38">
        <v>42144</v>
      </c>
      <c r="G14" s="39" t="s">
        <v>25</v>
      </c>
      <c r="H14" s="39" t="s">
        <v>34</v>
      </c>
      <c r="I14" s="38">
        <v>42149</v>
      </c>
      <c r="J14" s="39"/>
    </row>
    <row r="15" spans="1:21" ht="43.5" hidden="1" customHeight="1">
      <c r="B15" s="31">
        <v>1</v>
      </c>
      <c r="C15" s="33" t="s">
        <v>710</v>
      </c>
      <c r="D15" s="41">
        <v>42138</v>
      </c>
      <c r="E15" s="41">
        <v>42150</v>
      </c>
      <c r="F15" s="36">
        <v>42153</v>
      </c>
      <c r="G15" s="37" t="s">
        <v>25</v>
      </c>
      <c r="H15" s="37" t="s">
        <v>185</v>
      </c>
      <c r="I15" s="36">
        <v>42156</v>
      </c>
      <c r="J15" s="37"/>
    </row>
    <row r="16" spans="1:21" ht="29.25" hidden="1" customHeight="1">
      <c r="B16" s="31">
        <v>1</v>
      </c>
      <c r="C16" s="33" t="s">
        <v>699</v>
      </c>
      <c r="D16" s="41">
        <v>42132</v>
      </c>
      <c r="E16" s="41">
        <v>42143</v>
      </c>
      <c r="F16" s="36">
        <v>42146</v>
      </c>
      <c r="G16" s="37" t="s">
        <v>25</v>
      </c>
      <c r="H16" s="37" t="s">
        <v>459</v>
      </c>
      <c r="I16" s="36">
        <v>42149</v>
      </c>
      <c r="J16" s="37"/>
    </row>
    <row r="17" spans="2:10" ht="37.5" hidden="1" customHeight="1">
      <c r="B17" s="31">
        <v>1</v>
      </c>
      <c r="C17" s="33" t="s">
        <v>694</v>
      </c>
      <c r="D17" s="41">
        <v>42132</v>
      </c>
      <c r="E17" s="41">
        <v>42143</v>
      </c>
      <c r="F17" s="36">
        <v>42146</v>
      </c>
      <c r="G17" s="37" t="s">
        <v>25</v>
      </c>
      <c r="H17" s="37" t="s">
        <v>185</v>
      </c>
      <c r="I17" s="36">
        <v>42149</v>
      </c>
      <c r="J17" s="37"/>
    </row>
    <row r="18" spans="2:10" ht="42.75" hidden="1" customHeight="1">
      <c r="B18" s="31">
        <v>1</v>
      </c>
      <c r="C18" s="33" t="s">
        <v>709</v>
      </c>
      <c r="D18" s="41">
        <v>42149</v>
      </c>
      <c r="E18" s="41">
        <v>42150</v>
      </c>
      <c r="F18" s="36">
        <v>42156</v>
      </c>
      <c r="G18" s="37" t="s">
        <v>25</v>
      </c>
      <c r="H18" s="37" t="s">
        <v>55</v>
      </c>
      <c r="I18" s="36">
        <v>42156</v>
      </c>
      <c r="J18" s="37"/>
    </row>
    <row r="19" spans="2:10" ht="43.5" hidden="1" customHeight="1">
      <c r="B19" s="31">
        <v>1</v>
      </c>
      <c r="C19" s="33" t="s">
        <v>721</v>
      </c>
      <c r="D19" s="41">
        <v>42156</v>
      </c>
      <c r="E19" s="41">
        <v>42158</v>
      </c>
      <c r="F19" s="36">
        <v>42158</v>
      </c>
      <c r="G19" s="37" t="s">
        <v>25</v>
      </c>
      <c r="H19" s="37" t="s">
        <v>713</v>
      </c>
      <c r="I19" s="36">
        <v>42160</v>
      </c>
      <c r="J19" s="37"/>
    </row>
    <row r="20" spans="2:10" ht="67.5" hidden="1" customHeight="1">
      <c r="B20" s="31">
        <v>1</v>
      </c>
      <c r="C20" s="33" t="s">
        <v>719</v>
      </c>
      <c r="D20" s="41">
        <v>42158</v>
      </c>
      <c r="E20" s="41">
        <v>42158</v>
      </c>
      <c r="F20" s="36">
        <v>42158</v>
      </c>
      <c r="G20" s="37" t="s">
        <v>24</v>
      </c>
      <c r="H20" s="37" t="s">
        <v>34</v>
      </c>
      <c r="I20" s="36">
        <v>42159</v>
      </c>
      <c r="J20" s="37"/>
    </row>
    <row r="21" spans="2:10" ht="66" hidden="1" customHeight="1">
      <c r="B21" s="31">
        <v>1</v>
      </c>
      <c r="C21" s="33" t="s">
        <v>714</v>
      </c>
      <c r="D21" s="41">
        <v>42157</v>
      </c>
      <c r="E21" s="41">
        <v>42158</v>
      </c>
      <c r="F21" s="36">
        <v>42158</v>
      </c>
      <c r="G21" s="37" t="s">
        <v>25</v>
      </c>
      <c r="H21" s="37" t="s">
        <v>13</v>
      </c>
      <c r="I21" s="36">
        <v>42160</v>
      </c>
      <c r="J21" s="37"/>
    </row>
    <row r="22" spans="2:10" ht="36" hidden="1" customHeight="1">
      <c r="B22" s="31">
        <v>1</v>
      </c>
      <c r="C22" s="33" t="s">
        <v>702</v>
      </c>
      <c r="D22" s="41">
        <v>42131</v>
      </c>
      <c r="E22" s="41">
        <v>42143</v>
      </c>
      <c r="F22" s="36">
        <v>42153</v>
      </c>
      <c r="G22" s="37" t="s">
        <v>26</v>
      </c>
      <c r="H22" s="37" t="s">
        <v>470</v>
      </c>
      <c r="I22" s="36">
        <v>42149</v>
      </c>
      <c r="J22" s="37"/>
    </row>
    <row r="23" spans="2:10" ht="64.5" hidden="1" customHeight="1">
      <c r="B23" s="31">
        <v>1</v>
      </c>
      <c r="C23" s="33" t="s">
        <v>747</v>
      </c>
      <c r="D23" s="41">
        <v>42151</v>
      </c>
      <c r="E23" s="41">
        <v>42167</v>
      </c>
      <c r="F23" s="36">
        <v>42167</v>
      </c>
      <c r="G23" s="37" t="s">
        <v>25</v>
      </c>
      <c r="H23" s="37" t="s">
        <v>185</v>
      </c>
      <c r="I23" s="36">
        <v>42178</v>
      </c>
      <c r="J23" s="37"/>
    </row>
    <row r="24" spans="2:10" ht="50.25" hidden="1" customHeight="1">
      <c r="B24" s="31">
        <v>1</v>
      </c>
      <c r="C24" s="33" t="s">
        <v>705</v>
      </c>
      <c r="D24" s="41">
        <v>42131</v>
      </c>
      <c r="E24" s="41">
        <v>42143</v>
      </c>
      <c r="F24" s="36">
        <v>42153</v>
      </c>
      <c r="G24" s="37" t="s">
        <v>24</v>
      </c>
      <c r="H24" s="37" t="s">
        <v>327</v>
      </c>
      <c r="I24" s="36">
        <v>42156</v>
      </c>
      <c r="J24" s="37"/>
    </row>
    <row r="25" spans="2:10" ht="63.75" hidden="1" customHeight="1">
      <c r="B25" s="31">
        <v>1</v>
      </c>
      <c r="C25" s="33" t="s">
        <v>730</v>
      </c>
      <c r="D25" s="41">
        <v>42156</v>
      </c>
      <c r="E25" s="41">
        <v>42156</v>
      </c>
      <c r="F25" s="36">
        <v>42160</v>
      </c>
      <c r="G25" s="37" t="s">
        <v>25</v>
      </c>
      <c r="H25" s="37" t="s">
        <v>13</v>
      </c>
      <c r="I25" s="36">
        <v>42163</v>
      </c>
      <c r="J25" s="37"/>
    </row>
    <row r="26" spans="2:10" ht="42" hidden="1" customHeight="1">
      <c r="B26" s="31">
        <v>1</v>
      </c>
      <c r="C26" s="33" t="s">
        <v>706</v>
      </c>
      <c r="D26" s="41">
        <v>42145</v>
      </c>
      <c r="E26" s="41">
        <v>42146</v>
      </c>
      <c r="F26" s="36">
        <v>42150</v>
      </c>
      <c r="G26" s="37" t="s">
        <v>25</v>
      </c>
      <c r="H26" s="37" t="s">
        <v>80</v>
      </c>
      <c r="I26" s="36">
        <v>42156</v>
      </c>
      <c r="J26" s="37"/>
    </row>
    <row r="27" spans="2:10" ht="79.5" hidden="1" customHeight="1">
      <c r="B27" s="31">
        <v>1</v>
      </c>
      <c r="C27" s="33" t="s">
        <v>707</v>
      </c>
      <c r="D27" s="41">
        <v>42145</v>
      </c>
      <c r="E27" s="41">
        <v>42146</v>
      </c>
      <c r="F27" s="36">
        <v>42150</v>
      </c>
      <c r="G27" s="37" t="s">
        <v>25</v>
      </c>
      <c r="H27" s="37" t="s">
        <v>17</v>
      </c>
      <c r="I27" s="36">
        <v>42156</v>
      </c>
      <c r="J27" s="37"/>
    </row>
    <row r="28" spans="2:10" ht="29.25" hidden="1" customHeight="1">
      <c r="B28" s="31">
        <v>1</v>
      </c>
      <c r="C28" s="33" t="s">
        <v>700</v>
      </c>
      <c r="D28" s="41">
        <v>42146</v>
      </c>
      <c r="E28" s="41">
        <v>42146</v>
      </c>
      <c r="F28" s="36">
        <v>42153</v>
      </c>
      <c r="G28" s="37" t="s">
        <v>25</v>
      </c>
      <c r="H28" s="37" t="s">
        <v>17</v>
      </c>
      <c r="I28" s="36">
        <v>42149</v>
      </c>
      <c r="J28" s="37"/>
    </row>
    <row r="29" spans="2:10" ht="29.25" hidden="1" customHeight="1">
      <c r="B29" s="29">
        <v>1</v>
      </c>
      <c r="C29" s="34" t="s">
        <v>99</v>
      </c>
      <c r="D29" s="34"/>
      <c r="E29" s="34"/>
      <c r="F29" s="35">
        <v>41722</v>
      </c>
      <c r="G29" s="34" t="s">
        <v>25</v>
      </c>
      <c r="H29" s="34" t="s">
        <v>13</v>
      </c>
      <c r="I29" s="35">
        <v>41859</v>
      </c>
      <c r="J29" s="33" t="s">
        <v>27</v>
      </c>
    </row>
    <row r="30" spans="2:10" ht="29.25" hidden="1" customHeight="1">
      <c r="B30" s="31">
        <v>1</v>
      </c>
      <c r="C30" s="33" t="s">
        <v>50</v>
      </c>
      <c r="D30" s="33"/>
      <c r="E30" s="33"/>
      <c r="F30" s="36">
        <v>41725</v>
      </c>
      <c r="G30" s="37" t="s">
        <v>26</v>
      </c>
      <c r="H30" s="37" t="s">
        <v>40</v>
      </c>
      <c r="I30" s="36">
        <v>41739</v>
      </c>
      <c r="J30" s="37"/>
    </row>
    <row r="31" spans="2:10" ht="29.25" hidden="1" customHeight="1">
      <c r="B31" s="31">
        <v>1</v>
      </c>
      <c r="C31" s="33" t="s">
        <v>81</v>
      </c>
      <c r="D31" s="33"/>
      <c r="E31" s="33"/>
      <c r="F31" s="36">
        <v>41730</v>
      </c>
      <c r="G31" s="37" t="s">
        <v>25</v>
      </c>
      <c r="H31" s="37" t="s">
        <v>40</v>
      </c>
      <c r="I31" s="37"/>
      <c r="J31" s="37"/>
    </row>
    <row r="32" spans="2:10" ht="29.25" hidden="1" customHeight="1">
      <c r="B32" s="31">
        <v>1</v>
      </c>
      <c r="C32" s="33" t="s">
        <v>104</v>
      </c>
      <c r="D32" s="33"/>
      <c r="E32" s="33"/>
      <c r="F32" s="36">
        <v>41732</v>
      </c>
      <c r="G32" s="37" t="s">
        <v>25</v>
      </c>
      <c r="H32" s="37" t="s">
        <v>33</v>
      </c>
      <c r="I32" s="36">
        <v>41744</v>
      </c>
      <c r="J32" s="37"/>
    </row>
    <row r="33" spans="2:10" ht="29.25" hidden="1" customHeight="1">
      <c r="B33" s="31">
        <v>1</v>
      </c>
      <c r="C33" s="33" t="s">
        <v>66</v>
      </c>
      <c r="D33" s="33"/>
      <c r="E33" s="33"/>
      <c r="F33" s="36">
        <v>41732</v>
      </c>
      <c r="G33" s="37" t="s">
        <v>26</v>
      </c>
      <c r="H33" s="37" t="s">
        <v>33</v>
      </c>
      <c r="I33" s="37"/>
      <c r="J33" s="37"/>
    </row>
    <row r="34" spans="2:10" ht="33.75" hidden="1" customHeight="1">
      <c r="B34" s="31">
        <v>1</v>
      </c>
      <c r="C34" s="33" t="s">
        <v>147</v>
      </c>
      <c r="D34" s="33"/>
      <c r="E34" s="33"/>
      <c r="F34" s="36">
        <v>41750</v>
      </c>
      <c r="G34" s="37" t="s">
        <v>24</v>
      </c>
      <c r="H34" s="37" t="s">
        <v>57</v>
      </c>
      <c r="I34" s="36">
        <v>41752</v>
      </c>
      <c r="J34" s="37"/>
    </row>
    <row r="35" spans="2:10" ht="29.25" hidden="1" customHeight="1">
      <c r="B35" s="29">
        <v>1</v>
      </c>
      <c r="C35" s="33" t="s">
        <v>56</v>
      </c>
      <c r="D35" s="33"/>
      <c r="E35" s="33"/>
      <c r="F35" s="35">
        <v>41724</v>
      </c>
      <c r="G35" s="34" t="s">
        <v>25</v>
      </c>
      <c r="H35" s="34" t="s">
        <v>33</v>
      </c>
      <c r="I35" s="34"/>
      <c r="J35" s="33"/>
    </row>
    <row r="36" spans="2:10" ht="29.25" hidden="1" customHeight="1">
      <c r="B36" s="31">
        <v>1</v>
      </c>
      <c r="C36" s="33" t="s">
        <v>59</v>
      </c>
      <c r="D36" s="33"/>
      <c r="E36" s="33"/>
      <c r="F36" s="36">
        <v>41724</v>
      </c>
      <c r="G36" s="33" t="s">
        <v>26</v>
      </c>
      <c r="H36" s="37" t="s">
        <v>34</v>
      </c>
      <c r="I36" s="37"/>
      <c r="J36" s="37"/>
    </row>
    <row r="37" spans="2:10" ht="29.25" hidden="1" customHeight="1">
      <c r="B37" s="31">
        <v>1</v>
      </c>
      <c r="C37" s="33" t="s">
        <v>82</v>
      </c>
      <c r="D37" s="33"/>
      <c r="E37" s="33"/>
      <c r="F37" s="36">
        <v>41730</v>
      </c>
      <c r="G37" s="37" t="s">
        <v>25</v>
      </c>
      <c r="H37" s="37" t="s">
        <v>58</v>
      </c>
      <c r="I37" s="37"/>
      <c r="J37" s="37"/>
    </row>
    <row r="38" spans="2:10" ht="32.25" hidden="1" customHeight="1">
      <c r="B38" s="29">
        <v>1</v>
      </c>
      <c r="C38" s="34" t="s">
        <v>38</v>
      </c>
      <c r="D38" s="34"/>
      <c r="E38" s="34"/>
      <c r="F38" s="35"/>
      <c r="G38" s="34" t="s">
        <v>25</v>
      </c>
      <c r="H38" s="34" t="s">
        <v>34</v>
      </c>
      <c r="I38" s="34"/>
      <c r="J38" s="33"/>
    </row>
    <row r="39" spans="2:10" ht="29.25" hidden="1" customHeight="1">
      <c r="B39" s="31">
        <v>1</v>
      </c>
      <c r="C39" s="33" t="s">
        <v>29</v>
      </c>
      <c r="D39" s="33"/>
      <c r="E39" s="33"/>
      <c r="F39" s="36">
        <v>41719</v>
      </c>
      <c r="G39" s="33" t="s">
        <v>25</v>
      </c>
      <c r="H39" s="37" t="s">
        <v>13</v>
      </c>
      <c r="I39" s="37"/>
      <c r="J39" s="37"/>
    </row>
    <row r="40" spans="2:10" ht="29.25" hidden="1" customHeight="1">
      <c r="B40" s="31">
        <v>1</v>
      </c>
      <c r="C40" s="33" t="s">
        <v>83</v>
      </c>
      <c r="D40" s="33"/>
      <c r="E40" s="33"/>
      <c r="F40" s="36">
        <v>41731</v>
      </c>
      <c r="G40" s="37" t="s">
        <v>25</v>
      </c>
      <c r="H40" s="37" t="s">
        <v>51</v>
      </c>
      <c r="I40" s="37"/>
      <c r="J40" s="37"/>
    </row>
    <row r="41" spans="2:10" ht="29.25" hidden="1" customHeight="1">
      <c r="B41" s="31">
        <v>1</v>
      </c>
      <c r="C41" s="33" t="s">
        <v>48</v>
      </c>
      <c r="D41" s="33"/>
      <c r="E41" s="33"/>
      <c r="F41" s="36">
        <v>41724</v>
      </c>
      <c r="G41" s="37" t="s">
        <v>25</v>
      </c>
      <c r="H41" s="37" t="s">
        <v>49</v>
      </c>
      <c r="I41" s="37"/>
      <c r="J41" s="37"/>
    </row>
    <row r="42" spans="2:10" ht="29.25" hidden="1" customHeight="1">
      <c r="B42" s="29">
        <v>1</v>
      </c>
      <c r="C42" s="33" t="s">
        <v>52</v>
      </c>
      <c r="D42" s="33"/>
      <c r="E42" s="33"/>
      <c r="F42" s="41">
        <v>41725</v>
      </c>
      <c r="G42" s="33" t="s">
        <v>26</v>
      </c>
      <c r="H42" s="33" t="s">
        <v>34</v>
      </c>
      <c r="I42" s="33"/>
      <c r="J42" s="33" t="s">
        <v>20</v>
      </c>
    </row>
    <row r="43" spans="2:10" ht="29.25" hidden="1" customHeight="1">
      <c r="B43" s="31">
        <v>1</v>
      </c>
      <c r="C43" s="33" t="s">
        <v>84</v>
      </c>
      <c r="D43" s="33"/>
      <c r="E43" s="33"/>
      <c r="F43" s="36">
        <v>41730</v>
      </c>
      <c r="G43" s="37" t="s">
        <v>25</v>
      </c>
      <c r="H43" s="37" t="s">
        <v>34</v>
      </c>
      <c r="I43" s="37"/>
      <c r="J43" s="37"/>
    </row>
    <row r="44" spans="2:10" ht="29.25" hidden="1" customHeight="1">
      <c r="B44" s="31">
        <v>1</v>
      </c>
      <c r="C44" s="33" t="s">
        <v>30</v>
      </c>
      <c r="D44" s="33"/>
      <c r="E44" s="33"/>
      <c r="F44" s="36">
        <v>41719</v>
      </c>
      <c r="G44" s="33" t="s">
        <v>26</v>
      </c>
      <c r="H44" s="37" t="s">
        <v>16</v>
      </c>
      <c r="I44" s="37"/>
      <c r="J44" s="37"/>
    </row>
    <row r="45" spans="2:10" ht="29.25" hidden="1" customHeight="1">
      <c r="B45" s="31">
        <v>1</v>
      </c>
      <c r="C45" s="33" t="s">
        <v>31</v>
      </c>
      <c r="D45" s="33"/>
      <c r="E45" s="33"/>
      <c r="F45" s="36">
        <v>41722</v>
      </c>
      <c r="G45" s="33" t="s">
        <v>26</v>
      </c>
      <c r="H45" s="37" t="s">
        <v>13</v>
      </c>
      <c r="I45" s="37"/>
      <c r="J45" s="37"/>
    </row>
    <row r="46" spans="2:10" ht="29.25" hidden="1" customHeight="1">
      <c r="B46" s="31">
        <v>1</v>
      </c>
      <c r="C46" s="33" t="s">
        <v>41</v>
      </c>
      <c r="D46" s="33"/>
      <c r="E46" s="33"/>
      <c r="F46" s="36">
        <v>41722</v>
      </c>
      <c r="G46" s="37" t="s">
        <v>26</v>
      </c>
      <c r="H46" s="37" t="s">
        <v>35</v>
      </c>
      <c r="I46" s="37"/>
      <c r="J46" s="37"/>
    </row>
    <row r="47" spans="2:10" ht="29.25" hidden="1" customHeight="1">
      <c r="B47" s="31">
        <v>1</v>
      </c>
      <c r="C47" s="33" t="s">
        <v>36</v>
      </c>
      <c r="D47" s="33"/>
      <c r="E47" s="33"/>
      <c r="F47" s="36">
        <v>41722</v>
      </c>
      <c r="G47" s="37" t="s">
        <v>26</v>
      </c>
      <c r="H47" s="37" t="s">
        <v>37</v>
      </c>
      <c r="I47" s="37"/>
      <c r="J47" s="37"/>
    </row>
    <row r="48" spans="2:10" ht="29.25" hidden="1" customHeight="1">
      <c r="B48" s="31">
        <v>1</v>
      </c>
      <c r="C48" s="33" t="s">
        <v>32</v>
      </c>
      <c r="D48" s="33"/>
      <c r="E48" s="33"/>
      <c r="F48" s="36">
        <v>41725</v>
      </c>
      <c r="G48" s="37" t="s">
        <v>25</v>
      </c>
      <c r="H48" s="37" t="s">
        <v>33</v>
      </c>
      <c r="I48" s="37"/>
      <c r="J48" s="37"/>
    </row>
    <row r="49" spans="2:10" ht="29.25" hidden="1" customHeight="1">
      <c r="B49" s="31">
        <v>1</v>
      </c>
      <c r="C49" s="33" t="s">
        <v>42</v>
      </c>
      <c r="D49" s="33"/>
      <c r="E49" s="33"/>
      <c r="F49" s="36">
        <v>41726</v>
      </c>
      <c r="G49" s="37" t="s">
        <v>25</v>
      </c>
      <c r="H49" s="37" t="s">
        <v>16</v>
      </c>
      <c r="I49" s="37"/>
      <c r="J49" s="37"/>
    </row>
    <row r="50" spans="2:10" ht="29.25" hidden="1" customHeight="1">
      <c r="B50" s="31">
        <v>1</v>
      </c>
      <c r="C50" s="33" t="s">
        <v>46</v>
      </c>
      <c r="D50" s="33"/>
      <c r="E50" s="33"/>
      <c r="F50" s="36">
        <v>41724</v>
      </c>
      <c r="G50" s="37" t="s">
        <v>25</v>
      </c>
      <c r="H50" s="37" t="s">
        <v>34</v>
      </c>
      <c r="I50" s="37"/>
      <c r="J50" s="37"/>
    </row>
    <row r="51" spans="2:10" ht="29.25" hidden="1" customHeight="1">
      <c r="B51" s="31">
        <v>1</v>
      </c>
      <c r="C51" s="33" t="s">
        <v>47</v>
      </c>
      <c r="D51" s="33"/>
      <c r="E51" s="33"/>
      <c r="F51" s="36">
        <v>41724</v>
      </c>
      <c r="G51" s="37" t="s">
        <v>25</v>
      </c>
      <c r="H51" s="37" t="s">
        <v>34</v>
      </c>
      <c r="I51" s="37"/>
      <c r="J51" s="37"/>
    </row>
    <row r="52" spans="2:10" ht="29.25" hidden="1" customHeight="1">
      <c r="B52" s="31">
        <v>1</v>
      </c>
      <c r="C52" s="33" t="s">
        <v>75</v>
      </c>
      <c r="D52" s="33"/>
      <c r="E52" s="33"/>
      <c r="F52" s="36">
        <v>41730</v>
      </c>
      <c r="G52" s="37" t="s">
        <v>26</v>
      </c>
      <c r="H52" s="37" t="s">
        <v>33</v>
      </c>
      <c r="I52" s="37"/>
      <c r="J52" s="37"/>
    </row>
    <row r="53" spans="2:10" ht="29.25" hidden="1" customHeight="1">
      <c r="B53" s="31">
        <v>1</v>
      </c>
      <c r="C53" s="33" t="s">
        <v>43</v>
      </c>
      <c r="D53" s="33"/>
      <c r="E53" s="33"/>
      <c r="F53" s="36">
        <v>41723</v>
      </c>
      <c r="G53" s="37" t="s">
        <v>26</v>
      </c>
      <c r="H53" s="37" t="s">
        <v>39</v>
      </c>
      <c r="I53" s="37"/>
      <c r="J53" s="37"/>
    </row>
    <row r="54" spans="2:10" ht="42.75" hidden="1" customHeight="1">
      <c r="B54" s="31">
        <v>1</v>
      </c>
      <c r="C54" s="33" t="s">
        <v>44</v>
      </c>
      <c r="D54" s="33"/>
      <c r="E54" s="33"/>
      <c r="F54" s="36">
        <v>41724</v>
      </c>
      <c r="G54" s="37" t="s">
        <v>26</v>
      </c>
      <c r="H54" s="37" t="s">
        <v>45</v>
      </c>
      <c r="I54" s="37"/>
      <c r="J54" s="37"/>
    </row>
    <row r="55" spans="2:10" ht="29.25" hidden="1" customHeight="1">
      <c r="B55" s="31">
        <v>1</v>
      </c>
      <c r="C55" s="33" t="s">
        <v>74</v>
      </c>
      <c r="D55" s="33"/>
      <c r="E55" s="33"/>
      <c r="F55" s="36">
        <v>41730</v>
      </c>
      <c r="G55" s="37" t="s">
        <v>25</v>
      </c>
      <c r="H55" s="37" t="s">
        <v>34</v>
      </c>
      <c r="I55" s="37"/>
      <c r="J55" s="37"/>
    </row>
    <row r="56" spans="2:10" ht="29.25" hidden="1" customHeight="1">
      <c r="B56" s="31">
        <v>1</v>
      </c>
      <c r="C56" s="33" t="s">
        <v>79</v>
      </c>
      <c r="D56" s="33"/>
      <c r="E56" s="33"/>
      <c r="F56" s="36">
        <v>41730</v>
      </c>
      <c r="G56" s="37" t="s">
        <v>25</v>
      </c>
      <c r="H56" s="37" t="s">
        <v>34</v>
      </c>
      <c r="I56" s="37"/>
      <c r="J56" s="37"/>
    </row>
    <row r="57" spans="2:10" ht="42.75" hidden="1" customHeight="1">
      <c r="B57" s="31">
        <v>1</v>
      </c>
      <c r="C57" s="33" t="s">
        <v>60</v>
      </c>
      <c r="D57" s="33"/>
      <c r="E57" s="33"/>
      <c r="F57" s="36">
        <v>41729</v>
      </c>
      <c r="G57" s="37" t="s">
        <v>25</v>
      </c>
      <c r="H57" s="37" t="s">
        <v>34</v>
      </c>
      <c r="I57" s="37"/>
      <c r="J57" s="37"/>
    </row>
    <row r="58" spans="2:10" ht="29.25" hidden="1" customHeight="1">
      <c r="B58" s="31">
        <v>1</v>
      </c>
      <c r="C58" s="33" t="s">
        <v>53</v>
      </c>
      <c r="D58" s="33"/>
      <c r="E58" s="33"/>
      <c r="F58" s="36">
        <v>41733</v>
      </c>
      <c r="G58" s="37" t="s">
        <v>26</v>
      </c>
      <c r="H58" s="37" t="s">
        <v>54</v>
      </c>
      <c r="I58" s="37"/>
      <c r="J58" s="37"/>
    </row>
    <row r="59" spans="2:10" ht="38.25" hidden="1" customHeight="1">
      <c r="B59" s="31">
        <v>1</v>
      </c>
      <c r="C59" s="33" t="s">
        <v>61</v>
      </c>
      <c r="D59" s="33"/>
      <c r="E59" s="33"/>
      <c r="F59" s="36">
        <v>41725</v>
      </c>
      <c r="G59" s="37" t="s">
        <v>25</v>
      </c>
      <c r="H59" s="37" t="s">
        <v>55</v>
      </c>
      <c r="I59" s="37"/>
      <c r="J59" s="37"/>
    </row>
    <row r="60" spans="2:10" ht="29.25" hidden="1" customHeight="1">
      <c r="B60" s="29">
        <v>1</v>
      </c>
      <c r="C60" s="33" t="s">
        <v>96</v>
      </c>
      <c r="D60" s="33"/>
      <c r="E60" s="33"/>
      <c r="F60" s="35">
        <v>41740</v>
      </c>
      <c r="G60" s="34" t="s">
        <v>24</v>
      </c>
      <c r="H60" s="34" t="s">
        <v>80</v>
      </c>
      <c r="I60" s="35">
        <v>41739</v>
      </c>
      <c r="J60" s="33" t="s">
        <v>22</v>
      </c>
    </row>
    <row r="61" spans="2:10" ht="29.25" hidden="1" customHeight="1">
      <c r="B61" s="31">
        <v>1</v>
      </c>
      <c r="C61" s="33" t="s">
        <v>184</v>
      </c>
      <c r="D61" s="33"/>
      <c r="E61" s="41">
        <v>41758</v>
      </c>
      <c r="F61" s="36">
        <v>41759</v>
      </c>
      <c r="G61" s="37" t="s">
        <v>24</v>
      </c>
      <c r="H61" s="37" t="s">
        <v>110</v>
      </c>
      <c r="I61" s="36">
        <v>41758</v>
      </c>
      <c r="J61" s="37"/>
    </row>
    <row r="62" spans="2:10" ht="29.25" hidden="1" customHeight="1">
      <c r="B62" s="31">
        <v>1</v>
      </c>
      <c r="C62" s="33" t="s">
        <v>76</v>
      </c>
      <c r="D62" s="33"/>
      <c r="E62" s="33"/>
      <c r="F62" s="36">
        <v>41730</v>
      </c>
      <c r="G62" s="37" t="s">
        <v>25</v>
      </c>
      <c r="H62" s="37" t="s">
        <v>64</v>
      </c>
      <c r="I62" s="37"/>
      <c r="J62" s="37"/>
    </row>
    <row r="63" spans="2:10" ht="29.25" hidden="1" customHeight="1">
      <c r="B63" s="31">
        <v>1</v>
      </c>
      <c r="C63" s="33" t="s">
        <v>95</v>
      </c>
      <c r="D63" s="33"/>
      <c r="E63" s="33"/>
      <c r="F63" s="36">
        <v>41737</v>
      </c>
      <c r="G63" s="37" t="s">
        <v>26</v>
      </c>
      <c r="H63" s="37" t="s">
        <v>67</v>
      </c>
      <c r="I63" s="36">
        <v>41739</v>
      </c>
      <c r="J63" s="37"/>
    </row>
    <row r="64" spans="2:10" ht="29.25" hidden="1" customHeight="1">
      <c r="B64" s="31">
        <v>1</v>
      </c>
      <c r="C64" s="33" t="s">
        <v>86</v>
      </c>
      <c r="D64" s="33"/>
      <c r="E64" s="33"/>
      <c r="F64" s="36">
        <v>41737</v>
      </c>
      <c r="G64" s="37" t="s">
        <v>26</v>
      </c>
      <c r="H64" s="37" t="s">
        <v>15</v>
      </c>
      <c r="I64" s="37"/>
      <c r="J64" s="37"/>
    </row>
    <row r="65" spans="2:10" ht="29.25" hidden="1" customHeight="1">
      <c r="B65" s="31">
        <v>1</v>
      </c>
      <c r="C65" s="33" t="s">
        <v>62</v>
      </c>
      <c r="D65" s="33"/>
      <c r="E65" s="33"/>
      <c r="F65" s="36">
        <v>41729</v>
      </c>
      <c r="G65" s="37" t="s">
        <v>26</v>
      </c>
      <c r="H65" s="37" t="s">
        <v>63</v>
      </c>
      <c r="I65" s="37"/>
      <c r="J65" s="37"/>
    </row>
    <row r="66" spans="2:10" ht="29.25" hidden="1" customHeight="1">
      <c r="B66" s="31">
        <v>1</v>
      </c>
      <c r="C66" s="33" t="s">
        <v>68</v>
      </c>
      <c r="D66" s="33"/>
      <c r="E66" s="33"/>
      <c r="F66" s="36">
        <v>41737</v>
      </c>
      <c r="G66" s="37" t="s">
        <v>25</v>
      </c>
      <c r="H66" s="37" t="s">
        <v>69</v>
      </c>
      <c r="I66" s="36">
        <v>41746</v>
      </c>
      <c r="J66" s="37"/>
    </row>
    <row r="67" spans="2:10" ht="29.25" hidden="1" customHeight="1">
      <c r="B67" s="31">
        <v>1</v>
      </c>
      <c r="C67" s="33" t="s">
        <v>77</v>
      </c>
      <c r="D67" s="33"/>
      <c r="E67" s="33"/>
      <c r="F67" s="36">
        <v>41732</v>
      </c>
      <c r="G67" s="37" t="s">
        <v>26</v>
      </c>
      <c r="H67" s="37" t="s">
        <v>13</v>
      </c>
      <c r="I67" s="37"/>
      <c r="J67" s="37"/>
    </row>
    <row r="68" spans="2:10" ht="29.25" hidden="1" customHeight="1">
      <c r="B68" s="31">
        <v>1</v>
      </c>
      <c r="C68" s="33" t="s">
        <v>94</v>
      </c>
      <c r="D68" s="33"/>
      <c r="E68" s="33"/>
      <c r="F68" s="36">
        <v>41737</v>
      </c>
      <c r="G68" s="37" t="s">
        <v>25</v>
      </c>
      <c r="H68" s="37" t="s">
        <v>34</v>
      </c>
      <c r="I68" s="36">
        <v>41739</v>
      </c>
      <c r="J68" s="37"/>
    </row>
    <row r="69" spans="2:10" ht="43.5" hidden="1" customHeight="1">
      <c r="B69" s="31">
        <v>1</v>
      </c>
      <c r="C69" s="33" t="s">
        <v>93</v>
      </c>
      <c r="D69" s="33"/>
      <c r="E69" s="33"/>
      <c r="F69" s="36">
        <v>41737</v>
      </c>
      <c r="G69" s="37" t="s">
        <v>25</v>
      </c>
      <c r="H69" s="37" t="s">
        <v>34</v>
      </c>
      <c r="I69" s="36">
        <v>41739</v>
      </c>
      <c r="J69" s="37"/>
    </row>
    <row r="70" spans="2:10" ht="42" hidden="1" customHeight="1">
      <c r="B70" s="31">
        <v>1</v>
      </c>
      <c r="C70" s="33" t="s">
        <v>92</v>
      </c>
      <c r="D70" s="33"/>
      <c r="E70" s="33"/>
      <c r="F70" s="36">
        <v>41738</v>
      </c>
      <c r="G70" s="37" t="s">
        <v>26</v>
      </c>
      <c r="H70" s="37" t="s">
        <v>51</v>
      </c>
      <c r="I70" s="36">
        <v>41739</v>
      </c>
      <c r="J70" s="37"/>
    </row>
    <row r="71" spans="2:10" ht="29.25" hidden="1" customHeight="1">
      <c r="B71" s="31">
        <v>1</v>
      </c>
      <c r="C71" s="33" t="s">
        <v>70</v>
      </c>
      <c r="D71" s="33"/>
      <c r="E71" s="33"/>
      <c r="F71" s="36">
        <v>41732</v>
      </c>
      <c r="G71" s="37" t="s">
        <v>26</v>
      </c>
      <c r="H71" s="37" t="s">
        <v>34</v>
      </c>
      <c r="I71" s="37"/>
      <c r="J71" s="37"/>
    </row>
    <row r="72" spans="2:10" ht="29.25" hidden="1" customHeight="1">
      <c r="B72" s="31">
        <v>1</v>
      </c>
      <c r="C72" s="33" t="s">
        <v>78</v>
      </c>
      <c r="D72" s="33"/>
      <c r="E72" s="33"/>
      <c r="F72" s="36">
        <v>41736</v>
      </c>
      <c r="G72" s="33" t="s">
        <v>26</v>
      </c>
      <c r="H72" s="37" t="s">
        <v>71</v>
      </c>
      <c r="I72" s="37"/>
      <c r="J72" s="37"/>
    </row>
    <row r="73" spans="2:10" ht="29.25" hidden="1" customHeight="1">
      <c r="B73" s="31">
        <v>1</v>
      </c>
      <c r="C73" s="33" t="s">
        <v>72</v>
      </c>
      <c r="D73" s="33"/>
      <c r="E73" s="33"/>
      <c r="F73" s="36">
        <v>41730</v>
      </c>
      <c r="G73" s="37" t="s">
        <v>26</v>
      </c>
      <c r="H73" s="37" t="s">
        <v>33</v>
      </c>
      <c r="I73" s="37"/>
      <c r="J73" s="37"/>
    </row>
    <row r="74" spans="2:10" ht="38.25" hidden="1" customHeight="1">
      <c r="B74" s="31">
        <v>1</v>
      </c>
      <c r="C74" s="33" t="s">
        <v>73</v>
      </c>
      <c r="D74" s="33"/>
      <c r="E74" s="33"/>
      <c r="F74" s="36">
        <v>41729</v>
      </c>
      <c r="G74" s="37" t="s">
        <v>25</v>
      </c>
      <c r="H74" s="37" t="s">
        <v>57</v>
      </c>
      <c r="I74" s="37"/>
      <c r="J74" s="37"/>
    </row>
    <row r="75" spans="2:10" ht="48" hidden="1" customHeight="1">
      <c r="B75" s="31">
        <v>1</v>
      </c>
      <c r="C75" s="33" t="s">
        <v>148</v>
      </c>
      <c r="D75" s="33"/>
      <c r="E75" s="41">
        <v>41750</v>
      </c>
      <c r="F75" s="36">
        <v>41751</v>
      </c>
      <c r="G75" s="37" t="s">
        <v>24</v>
      </c>
      <c r="H75" s="37" t="s">
        <v>34</v>
      </c>
      <c r="I75" s="36">
        <v>41752</v>
      </c>
      <c r="J75" s="37"/>
    </row>
    <row r="76" spans="2:10" ht="29.25" hidden="1" customHeight="1">
      <c r="B76" s="31">
        <v>1</v>
      </c>
      <c r="C76" s="33" t="s">
        <v>163</v>
      </c>
      <c r="D76" s="33"/>
      <c r="E76" s="41">
        <v>41752</v>
      </c>
      <c r="F76" s="36">
        <v>41753</v>
      </c>
      <c r="G76" s="37" t="s">
        <v>24</v>
      </c>
      <c r="H76" s="37" t="s">
        <v>88</v>
      </c>
      <c r="I76" s="36">
        <v>41753</v>
      </c>
      <c r="J76" s="37"/>
    </row>
    <row r="77" spans="2:10" ht="29.25" hidden="1" customHeight="1">
      <c r="B77" s="31">
        <v>1</v>
      </c>
      <c r="C77" s="33" t="s">
        <v>140</v>
      </c>
      <c r="D77" s="33"/>
      <c r="E77" s="33"/>
      <c r="F77" s="35">
        <v>41754</v>
      </c>
      <c r="G77" s="34" t="s">
        <v>26</v>
      </c>
      <c r="H77" s="34" t="s">
        <v>13</v>
      </c>
      <c r="I77" s="35">
        <v>41750</v>
      </c>
      <c r="J77" s="33" t="s">
        <v>23</v>
      </c>
    </row>
    <row r="78" spans="2:10" ht="29.25" hidden="1" customHeight="1">
      <c r="B78" s="31">
        <v>1</v>
      </c>
      <c r="C78" s="42" t="s">
        <v>98</v>
      </c>
      <c r="D78" s="42"/>
      <c r="E78" s="42"/>
      <c r="F78" s="35">
        <v>41740</v>
      </c>
      <c r="G78" s="34" t="s">
        <v>25</v>
      </c>
      <c r="H78" s="34" t="s">
        <v>85</v>
      </c>
      <c r="I78" s="35">
        <v>41742</v>
      </c>
      <c r="J78" s="33"/>
    </row>
    <row r="79" spans="2:10" ht="36.75" hidden="1" customHeight="1">
      <c r="B79" s="29">
        <v>1</v>
      </c>
      <c r="C79" s="34" t="s">
        <v>91</v>
      </c>
      <c r="D79" s="34"/>
      <c r="E79" s="34"/>
      <c r="F79" s="35">
        <v>41747</v>
      </c>
      <c r="G79" s="34" t="s">
        <v>26</v>
      </c>
      <c r="H79" s="34" t="s">
        <v>13</v>
      </c>
      <c r="I79" s="35">
        <v>41742</v>
      </c>
      <c r="J79" s="33"/>
    </row>
    <row r="80" spans="2:10" ht="42.75" hidden="1" customHeight="1">
      <c r="B80" s="31">
        <v>1</v>
      </c>
      <c r="C80" s="33" t="s">
        <v>176</v>
      </c>
      <c r="D80" s="33"/>
      <c r="E80" s="41">
        <v>41754</v>
      </c>
      <c r="F80" s="36">
        <v>41754</v>
      </c>
      <c r="G80" s="37" t="s">
        <v>24</v>
      </c>
      <c r="H80" s="37" t="s">
        <v>169</v>
      </c>
      <c r="I80" s="36">
        <v>41757</v>
      </c>
      <c r="J80" s="37"/>
    </row>
    <row r="81" spans="2:10" ht="46.5" hidden="1" customHeight="1">
      <c r="B81" s="31">
        <v>1</v>
      </c>
      <c r="C81" s="33" t="s">
        <v>97</v>
      </c>
      <c r="D81" s="33"/>
      <c r="E81" s="33"/>
      <c r="F81" s="36">
        <v>41738</v>
      </c>
      <c r="G81" s="37" t="s">
        <v>25</v>
      </c>
      <c r="H81" s="37" t="s">
        <v>67</v>
      </c>
      <c r="I81" s="36">
        <v>41739</v>
      </c>
      <c r="J81" s="37"/>
    </row>
    <row r="82" spans="2:10" ht="29.25" hidden="1" customHeight="1">
      <c r="B82" s="31">
        <v>1</v>
      </c>
      <c r="C82" s="33" t="s">
        <v>177</v>
      </c>
      <c r="D82" s="33"/>
      <c r="E82" s="41">
        <v>41752</v>
      </c>
      <c r="F82" s="36">
        <v>41753</v>
      </c>
      <c r="G82" s="37" t="s">
        <v>25</v>
      </c>
      <c r="H82" s="37" t="s">
        <v>40</v>
      </c>
      <c r="I82" s="36">
        <v>41757</v>
      </c>
      <c r="J82" s="37"/>
    </row>
    <row r="83" spans="2:10" ht="29.25" hidden="1" customHeight="1">
      <c r="B83" s="31">
        <v>1</v>
      </c>
      <c r="C83" s="33" t="s">
        <v>106</v>
      </c>
      <c r="D83" s="33"/>
      <c r="E83" s="33"/>
      <c r="F83" s="36">
        <v>41740</v>
      </c>
      <c r="G83" s="37" t="s">
        <v>25</v>
      </c>
      <c r="H83" s="37" t="s">
        <v>34</v>
      </c>
      <c r="I83" s="36">
        <v>41744</v>
      </c>
      <c r="J83" s="37"/>
    </row>
    <row r="84" spans="2:10" ht="34.5" hidden="1" customHeight="1">
      <c r="B84" s="31">
        <v>1</v>
      </c>
      <c r="C84" s="33" t="s">
        <v>90</v>
      </c>
      <c r="D84" s="33"/>
      <c r="E84" s="33"/>
      <c r="F84" s="36">
        <v>41739</v>
      </c>
      <c r="G84" s="37" t="s">
        <v>26</v>
      </c>
      <c r="H84" s="37" t="s">
        <v>64</v>
      </c>
      <c r="I84" s="36">
        <v>41739</v>
      </c>
      <c r="J84" s="37"/>
    </row>
    <row r="85" spans="2:10" ht="34.5" hidden="1" customHeight="1">
      <c r="B85" s="31">
        <v>1</v>
      </c>
      <c r="C85" s="33" t="s">
        <v>164</v>
      </c>
      <c r="D85" s="33"/>
      <c r="E85" s="33"/>
      <c r="F85" s="36">
        <v>41751</v>
      </c>
      <c r="G85" s="37" t="s">
        <v>25</v>
      </c>
      <c r="H85" s="37" t="s">
        <v>34</v>
      </c>
      <c r="I85" s="36">
        <v>41753</v>
      </c>
      <c r="J85" s="37"/>
    </row>
    <row r="86" spans="2:10" ht="29.25" hidden="1" customHeight="1">
      <c r="B86" s="31">
        <v>1</v>
      </c>
      <c r="C86" s="33" t="s">
        <v>100</v>
      </c>
      <c r="D86" s="33"/>
      <c r="E86" s="33"/>
      <c r="F86" s="36">
        <v>41740</v>
      </c>
      <c r="G86" s="37" t="s">
        <v>24</v>
      </c>
      <c r="H86" s="37" t="s">
        <v>80</v>
      </c>
      <c r="I86" s="36">
        <v>41742</v>
      </c>
      <c r="J86" s="37"/>
    </row>
    <row r="87" spans="2:10" ht="46.5" hidden="1" customHeight="1">
      <c r="B87" s="31">
        <v>1</v>
      </c>
      <c r="C87" s="33" t="s">
        <v>107</v>
      </c>
      <c r="D87" s="33"/>
      <c r="E87" s="33"/>
      <c r="F87" s="36">
        <v>41743</v>
      </c>
      <c r="G87" s="37" t="s">
        <v>25</v>
      </c>
      <c r="H87" s="37" t="s">
        <v>34</v>
      </c>
      <c r="I87" s="36">
        <v>41744</v>
      </c>
      <c r="J87" s="37"/>
    </row>
    <row r="88" spans="2:10" ht="29.25" hidden="1" customHeight="1">
      <c r="B88" s="31">
        <v>1</v>
      </c>
      <c r="C88" s="33" t="s">
        <v>141</v>
      </c>
      <c r="D88" s="33"/>
      <c r="E88" s="33"/>
      <c r="F88" s="36">
        <v>41747</v>
      </c>
      <c r="G88" s="37" t="s">
        <v>25</v>
      </c>
      <c r="H88" s="37" t="s">
        <v>40</v>
      </c>
      <c r="I88" s="36">
        <v>41750</v>
      </c>
      <c r="J88" s="37"/>
    </row>
    <row r="89" spans="2:10" ht="29.25" hidden="1" customHeight="1">
      <c r="B89" s="31">
        <v>1</v>
      </c>
      <c r="C89" s="33" t="s">
        <v>108</v>
      </c>
      <c r="D89" s="33"/>
      <c r="E89" s="33"/>
      <c r="F89" s="36">
        <v>41743</v>
      </c>
      <c r="G89" s="37" t="s">
        <v>24</v>
      </c>
      <c r="H89" s="37" t="s">
        <v>34</v>
      </c>
      <c r="I89" s="36">
        <v>41744</v>
      </c>
      <c r="J89" s="37"/>
    </row>
    <row r="90" spans="2:10" ht="29.25" hidden="1" customHeight="1">
      <c r="B90" s="31">
        <v>1</v>
      </c>
      <c r="C90" s="33" t="s">
        <v>142</v>
      </c>
      <c r="D90" s="33"/>
      <c r="E90" s="33"/>
      <c r="F90" s="36">
        <v>41743</v>
      </c>
      <c r="G90" s="37" t="s">
        <v>26</v>
      </c>
      <c r="H90" s="37" t="s">
        <v>14</v>
      </c>
      <c r="I90" s="36">
        <v>41751</v>
      </c>
      <c r="J90" s="37"/>
    </row>
    <row r="91" spans="2:10" ht="41.25" hidden="1" customHeight="1">
      <c r="B91" s="31">
        <v>1</v>
      </c>
      <c r="C91" s="33" t="s">
        <v>116</v>
      </c>
      <c r="D91" s="33"/>
      <c r="E91" s="33"/>
      <c r="F91" s="36">
        <v>41743</v>
      </c>
      <c r="G91" s="37" t="s">
        <v>25</v>
      </c>
      <c r="H91" s="37" t="s">
        <v>67</v>
      </c>
      <c r="I91" s="36">
        <v>41745</v>
      </c>
      <c r="J91" s="37"/>
    </row>
    <row r="92" spans="2:10" ht="38.25" hidden="1" customHeight="1">
      <c r="B92" s="31">
        <v>1</v>
      </c>
      <c r="C92" s="33" t="s">
        <v>101</v>
      </c>
      <c r="D92" s="33"/>
      <c r="E92" s="33"/>
      <c r="F92" s="36">
        <v>41744</v>
      </c>
      <c r="G92" s="37" t="s">
        <v>25</v>
      </c>
      <c r="H92" s="37" t="s">
        <v>37</v>
      </c>
      <c r="I92" s="36">
        <v>41746</v>
      </c>
      <c r="J92" s="37"/>
    </row>
    <row r="93" spans="2:10" ht="29.25" hidden="1" customHeight="1">
      <c r="B93" s="31">
        <v>1</v>
      </c>
      <c r="C93" s="33" t="s">
        <v>125</v>
      </c>
      <c r="D93" s="33"/>
      <c r="E93" s="33"/>
      <c r="F93" s="36">
        <v>41750</v>
      </c>
      <c r="G93" s="37" t="s">
        <v>25</v>
      </c>
      <c r="H93" s="37" t="s">
        <v>34</v>
      </c>
      <c r="I93" s="36">
        <v>41747</v>
      </c>
      <c r="J93" s="37"/>
    </row>
    <row r="94" spans="2:10" ht="29.25" hidden="1" customHeight="1">
      <c r="B94" s="31">
        <v>1</v>
      </c>
      <c r="C94" s="33" t="s">
        <v>105</v>
      </c>
      <c r="D94" s="33"/>
      <c r="E94" s="33"/>
      <c r="F94" s="36">
        <v>41744</v>
      </c>
      <c r="G94" s="37" t="s">
        <v>24</v>
      </c>
      <c r="H94" s="37" t="s">
        <v>102</v>
      </c>
      <c r="I94" s="36">
        <v>41746</v>
      </c>
      <c r="J94" s="37"/>
    </row>
    <row r="95" spans="2:10" ht="42.75" hidden="1" customHeight="1">
      <c r="B95" s="31">
        <v>1</v>
      </c>
      <c r="C95" s="33" t="s">
        <v>131</v>
      </c>
      <c r="D95" s="33"/>
      <c r="E95" s="33"/>
      <c r="F95" s="36">
        <v>41745</v>
      </c>
      <c r="G95" s="37" t="s">
        <v>25</v>
      </c>
      <c r="H95" s="37" t="s">
        <v>13</v>
      </c>
      <c r="I95" s="36">
        <v>41747</v>
      </c>
      <c r="J95" s="37"/>
    </row>
    <row r="96" spans="2:10" ht="29.25" hidden="1" customHeight="1">
      <c r="B96" s="31">
        <v>1</v>
      </c>
      <c r="C96" s="33" t="s">
        <v>118</v>
      </c>
      <c r="D96" s="33"/>
      <c r="E96" s="33"/>
      <c r="F96" s="36">
        <v>41744</v>
      </c>
      <c r="G96" s="37" t="s">
        <v>25</v>
      </c>
      <c r="H96" s="37" t="s">
        <v>58</v>
      </c>
      <c r="I96" s="36">
        <v>41746</v>
      </c>
      <c r="J96" s="37"/>
    </row>
    <row r="97" spans="2:10" ht="29.25" hidden="1" customHeight="1">
      <c r="B97" s="31">
        <v>1</v>
      </c>
      <c r="C97" s="33" t="s">
        <v>109</v>
      </c>
      <c r="D97" s="33"/>
      <c r="E97" s="33"/>
      <c r="F97" s="36">
        <v>41744</v>
      </c>
      <c r="G97" s="37" t="s">
        <v>25</v>
      </c>
      <c r="H97" s="37" t="s">
        <v>34</v>
      </c>
      <c r="I97" s="36">
        <v>41745</v>
      </c>
      <c r="J97" s="37"/>
    </row>
    <row r="98" spans="2:10" ht="29.25" hidden="1" customHeight="1">
      <c r="B98" s="31">
        <v>1</v>
      </c>
      <c r="C98" s="33" t="s">
        <v>126</v>
      </c>
      <c r="D98" s="33"/>
      <c r="E98" s="33"/>
      <c r="F98" s="36">
        <v>41746</v>
      </c>
      <c r="G98" s="37" t="s">
        <v>25</v>
      </c>
      <c r="H98" s="37" t="s">
        <v>34</v>
      </c>
      <c r="I98" s="36">
        <v>41747</v>
      </c>
      <c r="J98" s="37"/>
    </row>
    <row r="99" spans="2:10" ht="44.25" hidden="1" customHeight="1">
      <c r="B99" s="31">
        <v>1</v>
      </c>
      <c r="C99" s="33" t="s">
        <v>103</v>
      </c>
      <c r="D99" s="33"/>
      <c r="E99" s="33"/>
      <c r="F99" s="36">
        <v>41744</v>
      </c>
      <c r="G99" s="37" t="s">
        <v>25</v>
      </c>
      <c r="H99" s="37" t="s">
        <v>21</v>
      </c>
      <c r="I99" s="36">
        <v>41746</v>
      </c>
      <c r="J99" s="37"/>
    </row>
    <row r="100" spans="2:10" ht="29.25" hidden="1" customHeight="1">
      <c r="B100" s="31">
        <v>1</v>
      </c>
      <c r="C100" s="33" t="s">
        <v>143</v>
      </c>
      <c r="D100" s="33"/>
      <c r="E100" s="33"/>
      <c r="F100" s="36">
        <v>41745</v>
      </c>
      <c r="G100" s="37" t="s">
        <v>25</v>
      </c>
      <c r="H100" s="37" t="s">
        <v>67</v>
      </c>
      <c r="I100" s="36">
        <v>41751</v>
      </c>
      <c r="J100" s="37"/>
    </row>
    <row r="101" spans="2:10" ht="29.25" hidden="1" customHeight="1">
      <c r="B101" s="31">
        <v>1</v>
      </c>
      <c r="C101" s="33" t="s">
        <v>119</v>
      </c>
      <c r="D101" s="33"/>
      <c r="E101" s="33"/>
      <c r="F101" s="36">
        <v>41745</v>
      </c>
      <c r="G101" s="37" t="s">
        <v>24</v>
      </c>
      <c r="H101" s="37" t="s">
        <v>110</v>
      </c>
      <c r="I101" s="36">
        <v>41746</v>
      </c>
      <c r="J101" s="37"/>
    </row>
    <row r="102" spans="2:10" ht="29.25" hidden="1" customHeight="1">
      <c r="B102" s="31">
        <v>1</v>
      </c>
      <c r="C102" s="33" t="s">
        <v>144</v>
      </c>
      <c r="D102" s="33"/>
      <c r="E102" s="33"/>
      <c r="F102" s="36">
        <v>41750</v>
      </c>
      <c r="G102" s="37" t="s">
        <v>26</v>
      </c>
      <c r="H102" s="37" t="s">
        <v>15</v>
      </c>
      <c r="I102" s="36">
        <v>41751</v>
      </c>
      <c r="J102" s="37"/>
    </row>
    <row r="103" spans="2:10" ht="53.25" hidden="1" customHeight="1">
      <c r="B103" s="31">
        <v>1</v>
      </c>
      <c r="C103" s="33" t="s">
        <v>225</v>
      </c>
      <c r="D103" s="33"/>
      <c r="E103" s="41">
        <v>41765</v>
      </c>
      <c r="F103" s="36">
        <v>41768</v>
      </c>
      <c r="G103" s="37" t="s">
        <v>24</v>
      </c>
      <c r="H103" s="37" t="s">
        <v>34</v>
      </c>
      <c r="I103" s="36">
        <v>41774</v>
      </c>
      <c r="J103" s="37"/>
    </row>
    <row r="104" spans="2:10" ht="36" hidden="1" customHeight="1">
      <c r="B104" s="31">
        <v>1</v>
      </c>
      <c r="C104" s="33" t="s">
        <v>150</v>
      </c>
      <c r="D104" s="33"/>
      <c r="E104" s="41">
        <v>41753</v>
      </c>
      <c r="F104" s="36">
        <v>41754</v>
      </c>
      <c r="G104" s="37" t="s">
        <v>25</v>
      </c>
      <c r="H104" s="37" t="s">
        <v>57</v>
      </c>
      <c r="I104" s="36">
        <v>41752</v>
      </c>
      <c r="J104" s="37"/>
    </row>
    <row r="105" spans="2:10" ht="29.25" hidden="1" customHeight="1">
      <c r="B105" s="31">
        <v>1</v>
      </c>
      <c r="C105" s="33" t="s">
        <v>111</v>
      </c>
      <c r="D105" s="33"/>
      <c r="E105" s="33"/>
      <c r="F105" s="36">
        <v>41745</v>
      </c>
      <c r="G105" s="37" t="s">
        <v>26</v>
      </c>
      <c r="H105" s="37" t="s">
        <v>35</v>
      </c>
      <c r="I105" s="36">
        <v>41747</v>
      </c>
      <c r="J105" s="37"/>
    </row>
    <row r="106" spans="2:10" ht="42" hidden="1" customHeight="1">
      <c r="B106" s="31">
        <v>1</v>
      </c>
      <c r="C106" s="33" t="s">
        <v>112</v>
      </c>
      <c r="D106" s="33"/>
      <c r="E106" s="33"/>
      <c r="F106" s="36">
        <v>41745</v>
      </c>
      <c r="G106" s="37" t="s">
        <v>26</v>
      </c>
      <c r="H106" s="37" t="s">
        <v>39</v>
      </c>
      <c r="I106" s="36">
        <v>41747</v>
      </c>
      <c r="J106" s="37"/>
    </row>
    <row r="107" spans="2:10" ht="43.5" hidden="1" customHeight="1">
      <c r="B107" s="31">
        <v>1</v>
      </c>
      <c r="C107" s="33" t="s">
        <v>149</v>
      </c>
      <c r="D107" s="33"/>
      <c r="E107" s="33"/>
      <c r="F107" s="36">
        <v>41746</v>
      </c>
      <c r="G107" s="37" t="s">
        <v>25</v>
      </c>
      <c r="H107" s="37" t="s">
        <v>34</v>
      </c>
      <c r="I107" s="36">
        <v>41752</v>
      </c>
      <c r="J107" s="37"/>
    </row>
    <row r="108" spans="2:10" ht="29.25" hidden="1" customHeight="1">
      <c r="B108" s="31">
        <v>1</v>
      </c>
      <c r="C108" s="33" t="s">
        <v>165</v>
      </c>
      <c r="D108" s="33"/>
      <c r="E108" s="41">
        <v>41752</v>
      </c>
      <c r="F108" s="36">
        <v>41752</v>
      </c>
      <c r="G108" s="37" t="s">
        <v>25</v>
      </c>
      <c r="H108" s="37" t="s">
        <v>34</v>
      </c>
      <c r="I108" s="36">
        <v>41753</v>
      </c>
      <c r="J108" s="37"/>
    </row>
    <row r="109" spans="2:10" ht="29.25" hidden="1" customHeight="1">
      <c r="B109" s="31">
        <v>1</v>
      </c>
      <c r="C109" s="33" t="s">
        <v>114</v>
      </c>
      <c r="D109" s="33"/>
      <c r="E109" s="33"/>
      <c r="F109" s="36">
        <v>41745</v>
      </c>
      <c r="G109" s="37" t="s">
        <v>26</v>
      </c>
      <c r="H109" s="37" t="s">
        <v>34</v>
      </c>
      <c r="I109" s="36">
        <v>41745</v>
      </c>
      <c r="J109" s="37"/>
    </row>
    <row r="110" spans="2:10" ht="29.25" hidden="1" customHeight="1">
      <c r="B110" s="31">
        <v>1</v>
      </c>
      <c r="C110" s="33" t="s">
        <v>186</v>
      </c>
      <c r="D110" s="33"/>
      <c r="E110" s="41">
        <v>41757</v>
      </c>
      <c r="F110" s="36">
        <v>41757</v>
      </c>
      <c r="G110" s="37" t="s">
        <v>24</v>
      </c>
      <c r="H110" s="37" t="s">
        <v>146</v>
      </c>
      <c r="I110" s="36">
        <v>41758</v>
      </c>
      <c r="J110" s="37"/>
    </row>
    <row r="111" spans="2:10" ht="38.25" hidden="1" customHeight="1">
      <c r="B111" s="31">
        <v>1</v>
      </c>
      <c r="C111" s="33" t="s">
        <v>151</v>
      </c>
      <c r="D111" s="33"/>
      <c r="E111" s="33"/>
      <c r="F111" s="36">
        <v>41747</v>
      </c>
      <c r="G111" s="37" t="s">
        <v>25</v>
      </c>
      <c r="H111" s="37" t="s">
        <v>34</v>
      </c>
      <c r="I111" s="36">
        <v>41752</v>
      </c>
      <c r="J111" s="37"/>
    </row>
    <row r="112" spans="2:10" ht="39.75" hidden="1" customHeight="1">
      <c r="B112" s="31">
        <v>1</v>
      </c>
      <c r="C112" s="33" t="s">
        <v>115</v>
      </c>
      <c r="D112" s="33"/>
      <c r="E112" s="33"/>
      <c r="F112" s="36">
        <v>41746</v>
      </c>
      <c r="G112" s="37" t="s">
        <v>26</v>
      </c>
      <c r="H112" s="37" t="s">
        <v>67</v>
      </c>
      <c r="I112" s="36">
        <v>41747</v>
      </c>
      <c r="J112" s="37"/>
    </row>
    <row r="113" spans="2:10" ht="50.25" hidden="1" customHeight="1">
      <c r="B113" s="31">
        <v>1</v>
      </c>
      <c r="C113" s="33" t="s">
        <v>127</v>
      </c>
      <c r="D113" s="33"/>
      <c r="E113" s="33"/>
      <c r="F113" s="36">
        <v>41747</v>
      </c>
      <c r="G113" s="37" t="s">
        <v>26</v>
      </c>
      <c r="H113" s="37" t="s">
        <v>34</v>
      </c>
      <c r="I113" s="36">
        <v>41747</v>
      </c>
      <c r="J113" s="37"/>
    </row>
    <row r="114" spans="2:10" ht="44.25" hidden="1" customHeight="1">
      <c r="B114" s="31">
        <v>1</v>
      </c>
      <c r="C114" s="33" t="s">
        <v>152</v>
      </c>
      <c r="D114" s="33"/>
      <c r="E114" s="33"/>
      <c r="F114" s="36">
        <v>41747</v>
      </c>
      <c r="G114" s="37" t="s">
        <v>25</v>
      </c>
      <c r="H114" s="37" t="s">
        <v>34</v>
      </c>
      <c r="I114" s="36">
        <v>41752</v>
      </c>
      <c r="J114" s="37"/>
    </row>
    <row r="115" spans="2:10" ht="39" hidden="1" customHeight="1">
      <c r="B115" s="31">
        <v>1</v>
      </c>
      <c r="C115" s="33" t="s">
        <v>178</v>
      </c>
      <c r="D115" s="33"/>
      <c r="E115" s="41">
        <v>41758</v>
      </c>
      <c r="F115" s="36">
        <v>41759</v>
      </c>
      <c r="G115" s="37" t="s">
        <v>25</v>
      </c>
      <c r="H115" s="37" t="s">
        <v>146</v>
      </c>
      <c r="I115" s="36">
        <v>41757</v>
      </c>
      <c r="J115" s="37"/>
    </row>
    <row r="116" spans="2:10" ht="39" hidden="1" customHeight="1">
      <c r="B116" s="31">
        <v>1</v>
      </c>
      <c r="C116" s="33" t="s">
        <v>128</v>
      </c>
      <c r="D116" s="33"/>
      <c r="E116" s="33"/>
      <c r="F116" s="36">
        <v>41746</v>
      </c>
      <c r="G116" s="37" t="s">
        <v>25</v>
      </c>
      <c r="H116" s="37" t="s">
        <v>34</v>
      </c>
      <c r="I116" s="36">
        <v>41747</v>
      </c>
      <c r="J116" s="37"/>
    </row>
    <row r="117" spans="2:10" ht="48" hidden="1" customHeight="1">
      <c r="B117" s="31">
        <v>1</v>
      </c>
      <c r="C117" s="33" t="s">
        <v>117</v>
      </c>
      <c r="D117" s="33"/>
      <c r="E117" s="33"/>
      <c r="F117" s="36">
        <v>41750</v>
      </c>
      <c r="G117" s="37" t="s">
        <v>26</v>
      </c>
      <c r="H117" s="37" t="s">
        <v>13</v>
      </c>
      <c r="I117" s="36">
        <v>41747</v>
      </c>
      <c r="J117" s="37"/>
    </row>
    <row r="118" spans="2:10" ht="29.25" hidden="1" customHeight="1">
      <c r="B118" s="31">
        <v>1</v>
      </c>
      <c r="C118" s="33" t="s">
        <v>190</v>
      </c>
      <c r="D118" s="33"/>
      <c r="E118" s="41">
        <v>41757</v>
      </c>
      <c r="F118" s="36">
        <v>41758</v>
      </c>
      <c r="G118" s="37" t="s">
        <v>24</v>
      </c>
      <c r="H118" s="37" t="s">
        <v>39</v>
      </c>
      <c r="I118" s="36">
        <v>41764</v>
      </c>
      <c r="J118" s="37"/>
    </row>
    <row r="119" spans="2:10" ht="45" hidden="1" customHeight="1">
      <c r="B119" s="31">
        <v>1</v>
      </c>
      <c r="C119" s="33" t="s">
        <v>121</v>
      </c>
      <c r="D119" s="33"/>
      <c r="E119" s="33"/>
      <c r="F119" s="36">
        <v>41746</v>
      </c>
      <c r="G119" s="37" t="s">
        <v>25</v>
      </c>
      <c r="H119" s="37" t="s">
        <v>13</v>
      </c>
      <c r="I119" s="36">
        <v>41747</v>
      </c>
      <c r="J119" s="37"/>
    </row>
    <row r="120" spans="2:10" ht="41.25" hidden="1" customHeight="1">
      <c r="B120" s="31">
        <v>1</v>
      </c>
      <c r="C120" s="33" t="s">
        <v>132</v>
      </c>
      <c r="D120" s="33"/>
      <c r="E120" s="33"/>
      <c r="F120" s="36">
        <v>41747</v>
      </c>
      <c r="G120" s="37" t="s">
        <v>26</v>
      </c>
      <c r="H120" s="37" t="s">
        <v>13</v>
      </c>
      <c r="I120" s="36">
        <v>41747</v>
      </c>
      <c r="J120" s="37"/>
    </row>
    <row r="121" spans="2:10" ht="29.25" hidden="1" customHeight="1">
      <c r="B121" s="31">
        <v>1</v>
      </c>
      <c r="C121" s="33" t="s">
        <v>154</v>
      </c>
      <c r="D121" s="33"/>
      <c r="E121" s="33"/>
      <c r="F121" s="36">
        <v>41751</v>
      </c>
      <c r="G121" s="37" t="s">
        <v>25</v>
      </c>
      <c r="H121" s="37" t="s">
        <v>13</v>
      </c>
      <c r="I121" s="36">
        <v>41752</v>
      </c>
      <c r="J121" s="37"/>
    </row>
    <row r="122" spans="2:10" ht="40.5" hidden="1" customHeight="1">
      <c r="B122" s="31">
        <v>1</v>
      </c>
      <c r="C122" s="33" t="s">
        <v>153</v>
      </c>
      <c r="D122" s="33"/>
      <c r="E122" s="41">
        <v>41752</v>
      </c>
      <c r="F122" s="36">
        <v>41753</v>
      </c>
      <c r="G122" s="37" t="s">
        <v>26</v>
      </c>
      <c r="H122" s="37" t="s">
        <v>80</v>
      </c>
      <c r="I122" s="36">
        <v>41757</v>
      </c>
      <c r="J122" s="37"/>
    </row>
    <row r="123" spans="2:10" ht="29.25" hidden="1" customHeight="1">
      <c r="B123" s="31">
        <v>1</v>
      </c>
      <c r="C123" s="33" t="s">
        <v>134</v>
      </c>
      <c r="D123" s="33"/>
      <c r="E123" s="33"/>
      <c r="F123" s="36">
        <v>41747</v>
      </c>
      <c r="G123" s="37" t="s">
        <v>26</v>
      </c>
      <c r="H123" s="37" t="s">
        <v>13</v>
      </c>
      <c r="I123" s="36">
        <v>41747</v>
      </c>
      <c r="J123" s="37"/>
    </row>
    <row r="124" spans="2:10" ht="29.25" hidden="1" customHeight="1">
      <c r="B124" s="31">
        <v>1</v>
      </c>
      <c r="C124" s="33" t="s">
        <v>135</v>
      </c>
      <c r="D124" s="33"/>
      <c r="E124" s="33"/>
      <c r="F124" s="36">
        <v>41747</v>
      </c>
      <c r="G124" s="37" t="s">
        <v>25</v>
      </c>
      <c r="H124" s="37" t="s">
        <v>18</v>
      </c>
      <c r="I124" s="36">
        <v>41747</v>
      </c>
      <c r="J124" s="37"/>
    </row>
    <row r="125" spans="2:10" ht="42" hidden="1" customHeight="1">
      <c r="B125" s="31">
        <v>1</v>
      </c>
      <c r="C125" s="33" t="s">
        <v>136</v>
      </c>
      <c r="D125" s="33"/>
      <c r="E125" s="33"/>
      <c r="F125" s="36">
        <v>41747</v>
      </c>
      <c r="G125" s="37" t="s">
        <v>26</v>
      </c>
      <c r="H125" s="37" t="s">
        <v>13</v>
      </c>
      <c r="I125" s="36">
        <v>41747</v>
      </c>
      <c r="J125" s="37"/>
    </row>
    <row r="126" spans="2:10" ht="81.75" hidden="1" customHeight="1">
      <c r="B126" s="31">
        <v>1</v>
      </c>
      <c r="C126" s="33" t="s">
        <v>183</v>
      </c>
      <c r="D126" s="33"/>
      <c r="E126" s="41">
        <v>41758</v>
      </c>
      <c r="F126" s="36">
        <v>41759</v>
      </c>
      <c r="G126" s="37" t="s">
        <v>24</v>
      </c>
      <c r="H126" s="37" t="s">
        <v>110</v>
      </c>
      <c r="I126" s="36">
        <v>41771</v>
      </c>
      <c r="J126" s="37"/>
    </row>
    <row r="127" spans="2:10" ht="29.25" hidden="1" customHeight="1">
      <c r="B127" s="31">
        <v>1</v>
      </c>
      <c r="C127" s="33" t="s">
        <v>129</v>
      </c>
      <c r="D127" s="33"/>
      <c r="E127" s="33"/>
      <c r="F127" s="36">
        <v>41752</v>
      </c>
      <c r="G127" s="37" t="s">
        <v>25</v>
      </c>
      <c r="H127" s="37" t="s">
        <v>69</v>
      </c>
      <c r="I127" s="36">
        <v>41747</v>
      </c>
      <c r="J127" s="37"/>
    </row>
    <row r="128" spans="2:10" ht="29.25" hidden="1" customHeight="1">
      <c r="B128" s="31">
        <v>1</v>
      </c>
      <c r="C128" s="33" t="s">
        <v>137</v>
      </c>
      <c r="D128" s="33"/>
      <c r="E128" s="33"/>
      <c r="F128" s="36">
        <v>41747</v>
      </c>
      <c r="G128" s="37" t="s">
        <v>26</v>
      </c>
      <c r="H128" s="37" t="s">
        <v>13</v>
      </c>
      <c r="I128" s="36">
        <v>41747</v>
      </c>
      <c r="J128" s="37"/>
    </row>
    <row r="129" spans="2:10" ht="33.75" hidden="1" customHeight="1">
      <c r="B129" s="31">
        <v>1</v>
      </c>
      <c r="C129" s="33" t="s">
        <v>166</v>
      </c>
      <c r="D129" s="33"/>
      <c r="E129" s="41">
        <v>41752</v>
      </c>
      <c r="F129" s="36">
        <v>41753</v>
      </c>
      <c r="G129" s="37" t="s">
        <v>25</v>
      </c>
      <c r="H129" s="37" t="s">
        <v>110</v>
      </c>
      <c r="I129" s="36">
        <v>41753</v>
      </c>
      <c r="J129" s="37"/>
    </row>
    <row r="130" spans="2:10" ht="45" hidden="1" customHeight="1">
      <c r="B130" s="31">
        <v>1</v>
      </c>
      <c r="C130" s="33" t="s">
        <v>251</v>
      </c>
      <c r="D130" s="33"/>
      <c r="E130" s="41">
        <v>41760</v>
      </c>
      <c r="F130" s="36">
        <v>41768</v>
      </c>
      <c r="G130" s="37" t="s">
        <v>24</v>
      </c>
      <c r="H130" s="37" t="s">
        <v>37</v>
      </c>
      <c r="I130" s="36">
        <v>41781</v>
      </c>
      <c r="J130" s="37"/>
    </row>
    <row r="131" spans="2:10" ht="47.25" hidden="1" customHeight="1">
      <c r="B131" s="31">
        <v>1</v>
      </c>
      <c r="C131" s="33" t="s">
        <v>123</v>
      </c>
      <c r="D131" s="33"/>
      <c r="E131" s="33"/>
      <c r="F131" s="36">
        <v>41747</v>
      </c>
      <c r="G131" s="37" t="s">
        <v>26</v>
      </c>
      <c r="H131" s="37" t="s">
        <v>13</v>
      </c>
      <c r="I131" s="36">
        <v>41752</v>
      </c>
      <c r="J131" s="37"/>
    </row>
    <row r="132" spans="2:10" ht="42" hidden="1" customHeight="1">
      <c r="B132" s="31">
        <v>1</v>
      </c>
      <c r="C132" s="33" t="s">
        <v>155</v>
      </c>
      <c r="D132" s="33"/>
      <c r="E132" s="33"/>
      <c r="F132" s="36">
        <v>41750</v>
      </c>
      <c r="G132" s="37" t="s">
        <v>26</v>
      </c>
      <c r="H132" s="37" t="s">
        <v>63</v>
      </c>
      <c r="I132" s="36">
        <v>41752</v>
      </c>
      <c r="J132" s="37"/>
    </row>
    <row r="133" spans="2:10" ht="29.25" hidden="1" customHeight="1">
      <c r="B133" s="31">
        <v>1</v>
      </c>
      <c r="C133" s="33" t="s">
        <v>156</v>
      </c>
      <c r="D133" s="33"/>
      <c r="E133" s="41">
        <v>41750</v>
      </c>
      <c r="F133" s="36">
        <v>41751</v>
      </c>
      <c r="G133" s="37" t="s">
        <v>26</v>
      </c>
      <c r="H133" s="37" t="s">
        <v>34</v>
      </c>
      <c r="I133" s="36">
        <v>41752</v>
      </c>
      <c r="J133" s="37"/>
    </row>
    <row r="134" spans="2:10" ht="39.75" hidden="1" customHeight="1">
      <c r="B134" s="31">
        <v>1</v>
      </c>
      <c r="C134" s="33" t="s">
        <v>167</v>
      </c>
      <c r="D134" s="33"/>
      <c r="E134" s="41">
        <v>41752</v>
      </c>
      <c r="F134" s="36">
        <v>41753</v>
      </c>
      <c r="G134" s="37" t="s">
        <v>25</v>
      </c>
      <c r="H134" s="37" t="s">
        <v>88</v>
      </c>
      <c r="I134" s="36">
        <v>41753</v>
      </c>
      <c r="J134" s="37"/>
    </row>
    <row r="135" spans="2:10" ht="29.25" hidden="1" customHeight="1">
      <c r="B135" s="31">
        <v>1</v>
      </c>
      <c r="C135" s="33" t="s">
        <v>157</v>
      </c>
      <c r="D135" s="33"/>
      <c r="E135" s="41">
        <v>41751</v>
      </c>
      <c r="F135" s="36">
        <v>41752</v>
      </c>
      <c r="G135" s="37" t="s">
        <v>25</v>
      </c>
      <c r="H135" s="37" t="s">
        <v>34</v>
      </c>
      <c r="I135" s="36">
        <v>41752</v>
      </c>
      <c r="J135" s="37"/>
    </row>
    <row r="136" spans="2:10" ht="36" hidden="1" customHeight="1">
      <c r="B136" s="31">
        <v>1</v>
      </c>
      <c r="C136" s="33" t="s">
        <v>252</v>
      </c>
      <c r="D136" s="33"/>
      <c r="E136" s="41">
        <v>41768</v>
      </c>
      <c r="F136" s="36">
        <v>41768</v>
      </c>
      <c r="G136" s="37" t="s">
        <v>24</v>
      </c>
      <c r="H136" s="37" t="s">
        <v>209</v>
      </c>
      <c r="I136" s="36">
        <v>41781</v>
      </c>
      <c r="J136" s="37"/>
    </row>
    <row r="137" spans="2:10" ht="29.25" hidden="1" customHeight="1">
      <c r="B137" s="31">
        <v>1</v>
      </c>
      <c r="C137" s="33" t="s">
        <v>133</v>
      </c>
      <c r="D137" s="33"/>
      <c r="E137" s="41">
        <v>41753</v>
      </c>
      <c r="F137" s="36">
        <v>41754</v>
      </c>
      <c r="G137" s="37" t="s">
        <v>25</v>
      </c>
      <c r="H137" s="37" t="s">
        <v>64</v>
      </c>
      <c r="I137" s="36">
        <v>41757</v>
      </c>
      <c r="J137" s="37"/>
    </row>
    <row r="138" spans="2:10" ht="48" hidden="1" customHeight="1">
      <c r="B138" s="31">
        <v>1</v>
      </c>
      <c r="C138" s="33" t="s">
        <v>233</v>
      </c>
      <c r="D138" s="33"/>
      <c r="E138" s="41">
        <v>41768</v>
      </c>
      <c r="F138" s="36">
        <v>41773</v>
      </c>
      <c r="G138" s="37" t="s">
        <v>24</v>
      </c>
      <c r="H138" s="37" t="s">
        <v>67</v>
      </c>
      <c r="I138" s="36">
        <v>41775</v>
      </c>
      <c r="J138" s="37"/>
    </row>
    <row r="139" spans="2:10" ht="58.5" hidden="1" customHeight="1">
      <c r="B139" s="31">
        <v>1</v>
      </c>
      <c r="C139" s="33" t="s">
        <v>179</v>
      </c>
      <c r="D139" s="33"/>
      <c r="E139" s="41">
        <v>41753</v>
      </c>
      <c r="F139" s="36">
        <v>41754</v>
      </c>
      <c r="G139" s="37" t="s">
        <v>25</v>
      </c>
      <c r="H139" s="37" t="s">
        <v>89</v>
      </c>
      <c r="I139" s="36">
        <v>41757</v>
      </c>
      <c r="J139" s="37"/>
    </row>
    <row r="140" spans="2:10" ht="29.25" hidden="1" customHeight="1">
      <c r="B140" s="31">
        <v>1</v>
      </c>
      <c r="C140" s="33" t="s">
        <v>173</v>
      </c>
      <c r="D140" s="33"/>
      <c r="E140" s="41">
        <v>41754</v>
      </c>
      <c r="F140" s="36">
        <v>41754</v>
      </c>
      <c r="G140" s="37" t="s">
        <v>25</v>
      </c>
      <c r="H140" s="37" t="s">
        <v>146</v>
      </c>
      <c r="I140" s="36">
        <v>41757</v>
      </c>
      <c r="J140" s="37"/>
    </row>
    <row r="141" spans="2:10" ht="29.25" hidden="1" customHeight="1">
      <c r="B141" s="31">
        <v>1</v>
      </c>
      <c r="C141" s="33" t="s">
        <v>139</v>
      </c>
      <c r="D141" s="33"/>
      <c r="E141" s="41">
        <v>41750</v>
      </c>
      <c r="F141" s="36">
        <v>41750</v>
      </c>
      <c r="G141" s="37" t="s">
        <v>24</v>
      </c>
      <c r="H141" s="37" t="s">
        <v>13</v>
      </c>
      <c r="I141" s="36">
        <v>41751</v>
      </c>
      <c r="J141" s="37"/>
    </row>
    <row r="142" spans="2:10" ht="29.25" hidden="1" customHeight="1">
      <c r="B142" s="31">
        <v>1</v>
      </c>
      <c r="C142" s="33" t="s">
        <v>206</v>
      </c>
      <c r="D142" s="33"/>
      <c r="E142" s="41">
        <v>41764</v>
      </c>
      <c r="F142" s="36">
        <v>41765</v>
      </c>
      <c r="G142" s="37" t="s">
        <v>24</v>
      </c>
      <c r="H142" s="37" t="s">
        <v>34</v>
      </c>
      <c r="I142" s="36">
        <v>41768</v>
      </c>
      <c r="J142" s="37"/>
    </row>
    <row r="143" spans="2:10" ht="29.25" hidden="1" customHeight="1">
      <c r="B143" s="31">
        <v>1</v>
      </c>
      <c r="C143" s="33" t="s">
        <v>305</v>
      </c>
      <c r="D143" s="33"/>
      <c r="E143" s="41">
        <v>41817</v>
      </c>
      <c r="F143" s="36">
        <v>41817</v>
      </c>
      <c r="G143" s="37" t="s">
        <v>24</v>
      </c>
      <c r="H143" s="37" t="s">
        <v>13</v>
      </c>
      <c r="I143" s="36">
        <v>41838</v>
      </c>
      <c r="J143" s="37"/>
    </row>
    <row r="144" spans="2:10" ht="45" hidden="1" customHeight="1">
      <c r="B144" s="31">
        <v>1</v>
      </c>
      <c r="C144" s="33" t="s">
        <v>138</v>
      </c>
      <c r="D144" s="33"/>
      <c r="E144" s="33"/>
      <c r="F144" s="36">
        <v>41752</v>
      </c>
      <c r="G144" s="37" t="s">
        <v>26</v>
      </c>
      <c r="H144" s="37" t="s">
        <v>13</v>
      </c>
      <c r="I144" s="36">
        <v>41752</v>
      </c>
      <c r="J144" s="37"/>
    </row>
    <row r="145" spans="2:10" ht="36.75" hidden="1" customHeight="1">
      <c r="B145" s="31">
        <v>1</v>
      </c>
      <c r="C145" s="33" t="s">
        <v>168</v>
      </c>
      <c r="D145" s="33"/>
      <c r="E145" s="41">
        <v>41752</v>
      </c>
      <c r="F145" s="36">
        <v>41754</v>
      </c>
      <c r="G145" s="37" t="s">
        <v>25</v>
      </c>
      <c r="H145" s="37" t="s">
        <v>51</v>
      </c>
      <c r="I145" s="36">
        <v>41753</v>
      </c>
      <c r="J145" s="37"/>
    </row>
    <row r="146" spans="2:10" ht="40.5" hidden="1" customHeight="1">
      <c r="B146" s="31">
        <v>1</v>
      </c>
      <c r="C146" s="33" t="s">
        <v>170</v>
      </c>
      <c r="D146" s="33"/>
      <c r="E146" s="41">
        <v>41752</v>
      </c>
      <c r="F146" s="36">
        <v>41753</v>
      </c>
      <c r="G146" s="37" t="s">
        <v>25</v>
      </c>
      <c r="H146" s="37" t="s">
        <v>146</v>
      </c>
      <c r="I146" s="36">
        <v>41753</v>
      </c>
      <c r="J146" s="37"/>
    </row>
    <row r="147" spans="2:10" ht="29.25" hidden="1" customHeight="1">
      <c r="B147" s="31">
        <v>1</v>
      </c>
      <c r="C147" s="33" t="s">
        <v>145</v>
      </c>
      <c r="D147" s="33"/>
      <c r="E147" s="41">
        <v>41752</v>
      </c>
      <c r="F147" s="36">
        <v>41754</v>
      </c>
      <c r="G147" s="37" t="s">
        <v>26</v>
      </c>
      <c r="H147" s="37" t="s">
        <v>146</v>
      </c>
      <c r="I147" s="36">
        <v>41758</v>
      </c>
      <c r="J147" s="37"/>
    </row>
    <row r="148" spans="2:10" ht="29.25" hidden="1" customHeight="1">
      <c r="B148" s="31">
        <v>1</v>
      </c>
      <c r="C148" s="33" t="s">
        <v>172</v>
      </c>
      <c r="D148" s="33"/>
      <c r="E148" s="41">
        <v>41753</v>
      </c>
      <c r="F148" s="36">
        <v>41754</v>
      </c>
      <c r="G148" s="37" t="s">
        <v>26</v>
      </c>
      <c r="H148" s="37" t="s">
        <v>34</v>
      </c>
      <c r="I148" s="36">
        <v>41758</v>
      </c>
      <c r="J148" s="37"/>
    </row>
    <row r="149" spans="2:10" ht="40.5" hidden="1" customHeight="1">
      <c r="B149" s="31">
        <v>1</v>
      </c>
      <c r="C149" s="33" t="s">
        <v>240</v>
      </c>
      <c r="D149" s="33"/>
      <c r="E149" s="41">
        <v>41765</v>
      </c>
      <c r="F149" s="36">
        <v>41779</v>
      </c>
      <c r="G149" s="37" t="s">
        <v>24</v>
      </c>
      <c r="H149" s="37" t="s">
        <v>34</v>
      </c>
      <c r="I149" s="36">
        <v>41781</v>
      </c>
      <c r="J149" s="37"/>
    </row>
    <row r="150" spans="2:10" ht="29.25" hidden="1" customHeight="1">
      <c r="B150" s="31">
        <v>1</v>
      </c>
      <c r="C150" s="33" t="s">
        <v>187</v>
      </c>
      <c r="D150" s="33"/>
      <c r="E150" s="41">
        <v>41753</v>
      </c>
      <c r="F150" s="36">
        <v>41757</v>
      </c>
      <c r="G150" s="37" t="s">
        <v>26</v>
      </c>
      <c r="H150" s="37" t="s">
        <v>55</v>
      </c>
      <c r="I150" s="36">
        <v>41758</v>
      </c>
      <c r="J150" s="37"/>
    </row>
    <row r="151" spans="2:10" ht="43.5" hidden="1" customHeight="1">
      <c r="B151" s="31">
        <v>1</v>
      </c>
      <c r="C151" s="33" t="s">
        <v>207</v>
      </c>
      <c r="D151" s="33"/>
      <c r="E151" s="41">
        <v>41765</v>
      </c>
      <c r="F151" s="36">
        <v>41765</v>
      </c>
      <c r="G151" s="37" t="s">
        <v>24</v>
      </c>
      <c r="H151" s="37" t="s">
        <v>34</v>
      </c>
      <c r="I151" s="36">
        <v>41768</v>
      </c>
      <c r="J151" s="37"/>
    </row>
    <row r="152" spans="2:10" ht="57" hidden="1" customHeight="1">
      <c r="B152" s="31">
        <v>1</v>
      </c>
      <c r="C152" s="33" t="s">
        <v>294</v>
      </c>
      <c r="D152" s="33"/>
      <c r="E152" s="41">
        <v>41786</v>
      </c>
      <c r="F152" s="36">
        <v>41803</v>
      </c>
      <c r="G152" s="37" t="s">
        <v>25</v>
      </c>
      <c r="H152" s="37" t="s">
        <v>34</v>
      </c>
      <c r="I152" s="36">
        <v>41813</v>
      </c>
      <c r="J152" s="37"/>
    </row>
    <row r="153" spans="2:10" ht="29.25" hidden="1" customHeight="1">
      <c r="B153" s="31">
        <v>1</v>
      </c>
      <c r="C153" s="33" t="s">
        <v>181</v>
      </c>
      <c r="D153" s="33"/>
      <c r="E153" s="41">
        <v>41753</v>
      </c>
      <c r="F153" s="36">
        <v>41754</v>
      </c>
      <c r="G153" s="37" t="s">
        <v>26</v>
      </c>
      <c r="H153" s="37" t="s">
        <v>89</v>
      </c>
      <c r="I153" s="36">
        <v>41757</v>
      </c>
      <c r="J153" s="37"/>
    </row>
    <row r="154" spans="2:10" ht="29.25" hidden="1" customHeight="1">
      <c r="B154" s="31">
        <v>1</v>
      </c>
      <c r="C154" s="33" t="s">
        <v>124</v>
      </c>
      <c r="D154" s="33"/>
      <c r="E154" s="41">
        <v>41753</v>
      </c>
      <c r="F154" s="36">
        <v>41753</v>
      </c>
      <c r="G154" s="37" t="s">
        <v>25</v>
      </c>
      <c r="H154" s="37" t="s">
        <v>57</v>
      </c>
      <c r="I154" s="36">
        <v>41765</v>
      </c>
      <c r="J154" s="37"/>
    </row>
    <row r="155" spans="2:10" ht="59.25" hidden="1" customHeight="1">
      <c r="B155" s="31">
        <v>1</v>
      </c>
      <c r="C155" s="33" t="s">
        <v>113</v>
      </c>
      <c r="D155" s="33"/>
      <c r="E155" s="41">
        <v>41753</v>
      </c>
      <c r="F155" s="36">
        <v>41754</v>
      </c>
      <c r="G155" s="37" t="s">
        <v>25</v>
      </c>
      <c r="H155" s="37" t="s">
        <v>13</v>
      </c>
      <c r="I155" s="36">
        <v>41770</v>
      </c>
      <c r="J155" s="37"/>
    </row>
    <row r="156" spans="2:10" ht="39.75" hidden="1" customHeight="1">
      <c r="B156" s="31">
        <v>1</v>
      </c>
      <c r="C156" s="33" t="s">
        <v>193</v>
      </c>
      <c r="D156" s="33"/>
      <c r="E156" s="41">
        <v>41753</v>
      </c>
      <c r="F156" s="36">
        <v>41754</v>
      </c>
      <c r="G156" s="37" t="s">
        <v>25</v>
      </c>
      <c r="H156" s="37" t="s">
        <v>34</v>
      </c>
      <c r="I156" s="36">
        <v>41765</v>
      </c>
      <c r="J156" s="37"/>
    </row>
    <row r="157" spans="2:10" ht="29.25" hidden="1" customHeight="1">
      <c r="B157" s="31">
        <v>1</v>
      </c>
      <c r="C157" s="33" t="s">
        <v>289</v>
      </c>
      <c r="D157" s="33"/>
      <c r="E157" s="41">
        <v>41787</v>
      </c>
      <c r="F157" s="36">
        <v>41808</v>
      </c>
      <c r="G157" s="37" t="s">
        <v>24</v>
      </c>
      <c r="H157" s="37" t="s">
        <v>57</v>
      </c>
      <c r="I157" s="36">
        <v>41813</v>
      </c>
      <c r="J157" s="37"/>
    </row>
    <row r="158" spans="2:10" ht="29.25" hidden="1" customHeight="1">
      <c r="B158" s="31">
        <v>1</v>
      </c>
      <c r="C158" s="33" t="s">
        <v>162</v>
      </c>
      <c r="D158" s="33"/>
      <c r="E158" s="33"/>
      <c r="F158" s="36">
        <v>41746</v>
      </c>
      <c r="G158" s="37" t="s">
        <v>26</v>
      </c>
      <c r="H158" s="37" t="s">
        <v>146</v>
      </c>
      <c r="I158" s="36">
        <v>41753</v>
      </c>
      <c r="J158" s="37"/>
    </row>
    <row r="159" spans="2:10" ht="29.25" hidden="1" customHeight="1">
      <c r="B159" s="31">
        <v>1</v>
      </c>
      <c r="C159" s="33" t="s">
        <v>180</v>
      </c>
      <c r="D159" s="33"/>
      <c r="E159" s="41">
        <v>41758</v>
      </c>
      <c r="F159" s="36">
        <v>41759</v>
      </c>
      <c r="G159" s="37" t="s">
        <v>25</v>
      </c>
      <c r="H159" s="37" t="s">
        <v>146</v>
      </c>
      <c r="I159" s="36">
        <v>41758</v>
      </c>
      <c r="J159" s="37"/>
    </row>
    <row r="160" spans="2:10" ht="67.5" hidden="1" customHeight="1">
      <c r="B160" s="31">
        <v>1</v>
      </c>
      <c r="C160" s="33" t="s">
        <v>120</v>
      </c>
      <c r="D160" s="33"/>
      <c r="E160" s="33"/>
      <c r="F160" s="36">
        <v>41754</v>
      </c>
      <c r="G160" s="37" t="s">
        <v>26</v>
      </c>
      <c r="H160" s="37" t="s">
        <v>34</v>
      </c>
      <c r="I160" s="36">
        <v>41753</v>
      </c>
      <c r="J160" s="37"/>
    </row>
    <row r="161" spans="2:10" ht="29.25" hidden="1" customHeight="1">
      <c r="B161" s="31">
        <v>1</v>
      </c>
      <c r="C161" s="33" t="s">
        <v>342</v>
      </c>
      <c r="D161" s="33"/>
      <c r="E161" s="41">
        <v>41817</v>
      </c>
      <c r="F161" s="36">
        <v>41824</v>
      </c>
      <c r="G161" s="37" t="s">
        <v>25</v>
      </c>
      <c r="H161" s="37" t="s">
        <v>15</v>
      </c>
      <c r="I161" s="36">
        <v>41833</v>
      </c>
      <c r="J161" s="37"/>
    </row>
    <row r="162" spans="2:10" ht="57" hidden="1" customHeight="1">
      <c r="B162" s="31">
        <v>1</v>
      </c>
      <c r="C162" s="33" t="s">
        <v>222</v>
      </c>
      <c r="D162" s="33"/>
      <c r="E162" s="41">
        <v>41773</v>
      </c>
      <c r="F162" s="36">
        <v>41775</v>
      </c>
      <c r="G162" s="37" t="s">
        <v>25</v>
      </c>
      <c r="H162" s="37" t="s">
        <v>34</v>
      </c>
      <c r="I162" s="36">
        <v>41773</v>
      </c>
      <c r="J162" s="37"/>
    </row>
    <row r="163" spans="2:10" ht="29.25" hidden="1" customHeight="1">
      <c r="B163" s="31">
        <v>1</v>
      </c>
      <c r="C163" s="33" t="s">
        <v>191</v>
      </c>
      <c r="D163" s="33"/>
      <c r="E163" s="41">
        <v>41758</v>
      </c>
      <c r="F163" s="36">
        <v>41758</v>
      </c>
      <c r="G163" s="37" t="s">
        <v>25</v>
      </c>
      <c r="H163" s="37" t="s">
        <v>185</v>
      </c>
      <c r="I163" s="36">
        <v>41765</v>
      </c>
      <c r="J163" s="37"/>
    </row>
    <row r="164" spans="2:10" ht="29.25" hidden="1" customHeight="1">
      <c r="B164" s="31">
        <v>1</v>
      </c>
      <c r="C164" s="47" t="s">
        <v>192</v>
      </c>
      <c r="D164" s="47"/>
      <c r="E164" s="41">
        <v>41766</v>
      </c>
      <c r="F164" s="36">
        <v>41768</v>
      </c>
      <c r="G164" s="37" t="s">
        <v>25</v>
      </c>
      <c r="H164" s="37" t="s">
        <v>13</v>
      </c>
      <c r="I164" s="36">
        <v>41770</v>
      </c>
      <c r="J164" s="37"/>
    </row>
    <row r="165" spans="2:10" ht="29.25" hidden="1" customHeight="1">
      <c r="B165" s="31">
        <v>1</v>
      </c>
      <c r="C165" s="33" t="s">
        <v>174</v>
      </c>
      <c r="D165" s="33"/>
      <c r="E165" s="41">
        <v>41757</v>
      </c>
      <c r="F165" s="36">
        <v>41757</v>
      </c>
      <c r="G165" s="37" t="s">
        <v>25</v>
      </c>
      <c r="H165" s="37" t="s">
        <v>39</v>
      </c>
      <c r="I165" s="36">
        <v>41755</v>
      </c>
      <c r="J165" s="37"/>
    </row>
    <row r="166" spans="2:10" ht="29.25" hidden="1" customHeight="1">
      <c r="B166" s="31">
        <v>1</v>
      </c>
      <c r="C166" s="33" t="s">
        <v>214</v>
      </c>
      <c r="D166" s="33"/>
      <c r="E166" s="41">
        <v>41766</v>
      </c>
      <c r="F166" s="36">
        <v>41767</v>
      </c>
      <c r="G166" s="37" t="s">
        <v>25</v>
      </c>
      <c r="H166" s="37" t="s">
        <v>35</v>
      </c>
      <c r="I166" s="36">
        <v>41772</v>
      </c>
      <c r="J166" s="37"/>
    </row>
    <row r="167" spans="2:10" ht="29.25" hidden="1" customHeight="1">
      <c r="B167" s="31">
        <v>1</v>
      </c>
      <c r="C167" s="33" t="s">
        <v>188</v>
      </c>
      <c r="D167" s="33"/>
      <c r="E167" s="41">
        <v>41754</v>
      </c>
      <c r="F167" s="36">
        <v>41758</v>
      </c>
      <c r="G167" s="37" t="s">
        <v>26</v>
      </c>
      <c r="H167" s="37" t="s">
        <v>51</v>
      </c>
      <c r="I167" s="36">
        <v>41758</v>
      </c>
      <c r="J167" s="37"/>
    </row>
    <row r="168" spans="2:10" ht="29.25" hidden="1" customHeight="1">
      <c r="B168" s="31">
        <v>1</v>
      </c>
      <c r="C168" s="33" t="s">
        <v>290</v>
      </c>
      <c r="D168" s="33"/>
      <c r="E168" s="41">
        <v>41775</v>
      </c>
      <c r="F168" s="36">
        <v>41808</v>
      </c>
      <c r="G168" s="37" t="s">
        <v>25</v>
      </c>
      <c r="H168" s="37" t="s">
        <v>110</v>
      </c>
      <c r="I168" s="36">
        <v>41800</v>
      </c>
      <c r="J168" s="37"/>
    </row>
    <row r="169" spans="2:10" ht="29.25" hidden="1" customHeight="1">
      <c r="B169" s="31">
        <v>1</v>
      </c>
      <c r="C169" s="33" t="s">
        <v>291</v>
      </c>
      <c r="D169" s="33"/>
      <c r="E169" s="41">
        <v>41781</v>
      </c>
      <c r="F169" s="36">
        <v>41815</v>
      </c>
      <c r="G169" s="37" t="s">
        <v>25</v>
      </c>
      <c r="H169" s="37" t="s">
        <v>110</v>
      </c>
      <c r="I169" s="36">
        <v>41800</v>
      </c>
      <c r="J169" s="37"/>
    </row>
    <row r="170" spans="2:10" ht="41.25" hidden="1" customHeight="1">
      <c r="B170" s="31">
        <v>1</v>
      </c>
      <c r="C170" s="33" t="s">
        <v>158</v>
      </c>
      <c r="D170" s="33"/>
      <c r="E170" s="41">
        <v>41758</v>
      </c>
      <c r="F170" s="36">
        <v>41759</v>
      </c>
      <c r="G170" s="37" t="s">
        <v>26</v>
      </c>
      <c r="H170" s="37" t="s">
        <v>146</v>
      </c>
      <c r="I170" s="36">
        <v>41758</v>
      </c>
      <c r="J170" s="37"/>
    </row>
    <row r="171" spans="2:10" ht="36" hidden="1" customHeight="1">
      <c r="B171" s="31">
        <v>1</v>
      </c>
      <c r="C171" s="33" t="s">
        <v>194</v>
      </c>
      <c r="D171" s="33"/>
      <c r="E171" s="41">
        <v>41758</v>
      </c>
      <c r="F171" s="36">
        <v>41758</v>
      </c>
      <c r="G171" s="37" t="s">
        <v>25</v>
      </c>
      <c r="H171" s="37" t="s">
        <v>146</v>
      </c>
      <c r="I171" s="36">
        <v>41765</v>
      </c>
      <c r="J171" s="37"/>
    </row>
    <row r="172" spans="2:10" ht="52.5" hidden="1" customHeight="1">
      <c r="B172" s="31">
        <v>1</v>
      </c>
      <c r="C172" s="33" t="s">
        <v>195</v>
      </c>
      <c r="D172" s="33"/>
      <c r="E172" s="41">
        <v>41759</v>
      </c>
      <c r="F172" s="36">
        <v>41759</v>
      </c>
      <c r="G172" s="37" t="s">
        <v>25</v>
      </c>
      <c r="H172" s="37" t="s">
        <v>189</v>
      </c>
      <c r="I172" s="36">
        <v>41765</v>
      </c>
      <c r="J172" s="37"/>
    </row>
    <row r="173" spans="2:10" ht="29.25" hidden="1" customHeight="1">
      <c r="B173" s="31">
        <v>1</v>
      </c>
      <c r="C173" s="33" t="s">
        <v>196</v>
      </c>
      <c r="D173" s="33"/>
      <c r="E173" s="41">
        <v>41759</v>
      </c>
      <c r="F173" s="36">
        <v>41759</v>
      </c>
      <c r="G173" s="37" t="s">
        <v>25</v>
      </c>
      <c r="H173" s="37" t="s">
        <v>189</v>
      </c>
      <c r="I173" s="36">
        <v>41765</v>
      </c>
      <c r="J173" s="37"/>
    </row>
    <row r="174" spans="2:10" ht="33" hidden="1" customHeight="1">
      <c r="B174" s="31">
        <v>1</v>
      </c>
      <c r="C174" s="33" t="s">
        <v>253</v>
      </c>
      <c r="D174" s="33"/>
      <c r="E174" s="41">
        <v>41759</v>
      </c>
      <c r="F174" s="36">
        <v>41779</v>
      </c>
      <c r="G174" s="37" t="s">
        <v>24</v>
      </c>
      <c r="H174" s="37" t="s">
        <v>57</v>
      </c>
      <c r="I174" s="36">
        <v>41781</v>
      </c>
      <c r="J174" s="37"/>
    </row>
    <row r="175" spans="2:10" ht="29.25" hidden="1" customHeight="1">
      <c r="B175" s="31">
        <v>1</v>
      </c>
      <c r="C175" s="33" t="s">
        <v>262</v>
      </c>
      <c r="D175" s="33"/>
      <c r="E175" s="41">
        <v>41781</v>
      </c>
      <c r="F175" s="36">
        <v>41782</v>
      </c>
      <c r="G175" s="37" t="s">
        <v>26</v>
      </c>
      <c r="H175" s="37" t="s">
        <v>34</v>
      </c>
      <c r="I175" s="36">
        <v>41786</v>
      </c>
      <c r="J175" s="37"/>
    </row>
    <row r="176" spans="2:10" ht="37.5" hidden="1" customHeight="1">
      <c r="B176" s="31">
        <v>1</v>
      </c>
      <c r="C176" s="33" t="s">
        <v>197</v>
      </c>
      <c r="D176" s="33"/>
      <c r="E176" s="41">
        <v>41754</v>
      </c>
      <c r="F176" s="36">
        <v>41757</v>
      </c>
      <c r="G176" s="37" t="s">
        <v>26</v>
      </c>
      <c r="H176" s="37" t="s">
        <v>34</v>
      </c>
      <c r="I176" s="36">
        <v>41765</v>
      </c>
      <c r="J176" s="37"/>
    </row>
    <row r="177" spans="2:10" ht="57" hidden="1" customHeight="1">
      <c r="B177" s="31">
        <v>1</v>
      </c>
      <c r="C177" s="33" t="s">
        <v>198</v>
      </c>
      <c r="D177" s="33"/>
      <c r="E177" s="41">
        <v>41754</v>
      </c>
      <c r="F177" s="36">
        <v>41758</v>
      </c>
      <c r="G177" s="37" t="s">
        <v>26</v>
      </c>
      <c r="H177" s="37" t="s">
        <v>21</v>
      </c>
      <c r="I177" s="36">
        <v>41765</v>
      </c>
      <c r="J177" s="37"/>
    </row>
    <row r="178" spans="2:10" ht="39.75" hidden="1" customHeight="1">
      <c r="B178" s="31">
        <v>1</v>
      </c>
      <c r="C178" s="33" t="s">
        <v>243</v>
      </c>
      <c r="D178" s="33"/>
      <c r="E178" s="41">
        <v>41787</v>
      </c>
      <c r="F178" s="36">
        <v>41787</v>
      </c>
      <c r="G178" s="37" t="s">
        <v>24</v>
      </c>
      <c r="H178" s="37" t="s">
        <v>34</v>
      </c>
      <c r="I178" s="36">
        <v>41813</v>
      </c>
      <c r="J178" s="37"/>
    </row>
    <row r="179" spans="2:10" ht="29.25" hidden="1" customHeight="1">
      <c r="B179" s="31">
        <v>1</v>
      </c>
      <c r="C179" s="33" t="s">
        <v>343</v>
      </c>
      <c r="D179" s="33"/>
      <c r="E179" s="41">
        <v>41822</v>
      </c>
      <c r="F179" s="36">
        <v>41824</v>
      </c>
      <c r="G179" s="37" t="s">
        <v>24</v>
      </c>
      <c r="H179" s="37" t="s">
        <v>235</v>
      </c>
      <c r="I179" s="36">
        <v>41833</v>
      </c>
      <c r="J179" s="37"/>
    </row>
    <row r="180" spans="2:10" ht="47.25" hidden="1" customHeight="1">
      <c r="B180" s="31">
        <v>1</v>
      </c>
      <c r="C180" s="33" t="s">
        <v>175</v>
      </c>
      <c r="D180" s="33"/>
      <c r="E180" s="41">
        <v>41757</v>
      </c>
      <c r="F180" s="36">
        <v>41759</v>
      </c>
      <c r="G180" s="37" t="s">
        <v>26</v>
      </c>
      <c r="H180" s="37" t="s">
        <v>146</v>
      </c>
      <c r="I180" s="36">
        <v>41765</v>
      </c>
      <c r="J180" s="37"/>
    </row>
    <row r="181" spans="2:10" ht="29.25" hidden="1" customHeight="1">
      <c r="B181" s="31">
        <v>1</v>
      </c>
      <c r="C181" s="33" t="s">
        <v>199</v>
      </c>
      <c r="D181" s="33"/>
      <c r="E181" s="41">
        <v>41758</v>
      </c>
      <c r="F181" s="36">
        <v>41759</v>
      </c>
      <c r="G181" s="37" t="s">
        <v>26</v>
      </c>
      <c r="H181" s="37" t="s">
        <v>35</v>
      </c>
      <c r="I181" s="36">
        <v>41765</v>
      </c>
      <c r="J181" s="37"/>
    </row>
    <row r="182" spans="2:10" ht="29.25" hidden="1" customHeight="1">
      <c r="B182" s="31">
        <v>1</v>
      </c>
      <c r="C182" s="33" t="s">
        <v>200</v>
      </c>
      <c r="D182" s="33"/>
      <c r="E182" s="41">
        <v>41760</v>
      </c>
      <c r="F182" s="36">
        <v>41765</v>
      </c>
      <c r="G182" s="37" t="s">
        <v>25</v>
      </c>
      <c r="H182" s="37" t="s">
        <v>51</v>
      </c>
      <c r="I182" s="36">
        <v>41765</v>
      </c>
      <c r="J182" s="37"/>
    </row>
    <row r="183" spans="2:10" ht="34.5" hidden="1" customHeight="1">
      <c r="B183" s="31">
        <v>1</v>
      </c>
      <c r="C183" s="47" t="s">
        <v>274</v>
      </c>
      <c r="D183" s="47"/>
      <c r="E183" s="41">
        <v>41781</v>
      </c>
      <c r="F183" s="36">
        <v>41782</v>
      </c>
      <c r="G183" s="37" t="s">
        <v>24</v>
      </c>
      <c r="H183" s="37" t="s">
        <v>67</v>
      </c>
      <c r="I183" s="36">
        <v>41787</v>
      </c>
      <c r="J183" s="37"/>
    </row>
    <row r="184" spans="2:10" ht="60.75" hidden="1" customHeight="1">
      <c r="B184" s="31">
        <v>1</v>
      </c>
      <c r="C184" s="33" t="s">
        <v>215</v>
      </c>
      <c r="D184" s="33"/>
      <c r="E184" s="41">
        <v>41752</v>
      </c>
      <c r="F184" s="36">
        <v>41768</v>
      </c>
      <c r="G184" s="37" t="s">
        <v>26</v>
      </c>
      <c r="H184" s="37" t="s">
        <v>160</v>
      </c>
      <c r="I184" s="36">
        <v>41772</v>
      </c>
      <c r="J184" s="37"/>
    </row>
    <row r="185" spans="2:10" ht="39.75" hidden="1" customHeight="1">
      <c r="B185" s="31">
        <v>1</v>
      </c>
      <c r="C185" s="33" t="s">
        <v>263</v>
      </c>
      <c r="D185" s="33"/>
      <c r="E185" s="41">
        <v>41781</v>
      </c>
      <c r="F185" s="36">
        <v>41789</v>
      </c>
      <c r="G185" s="37" t="s">
        <v>24</v>
      </c>
      <c r="H185" s="37" t="s">
        <v>18</v>
      </c>
      <c r="I185" s="36">
        <v>41800</v>
      </c>
      <c r="J185" s="37"/>
    </row>
    <row r="186" spans="2:10" ht="29.25" hidden="1" customHeight="1">
      <c r="B186" s="31">
        <v>1</v>
      </c>
      <c r="C186" s="33" t="s">
        <v>216</v>
      </c>
      <c r="D186" s="33"/>
      <c r="E186" s="41">
        <v>41767</v>
      </c>
      <c r="F186" s="36">
        <v>41771</v>
      </c>
      <c r="G186" s="37" t="s">
        <v>25</v>
      </c>
      <c r="H186" s="37" t="s">
        <v>201</v>
      </c>
      <c r="I186" s="36">
        <v>41772</v>
      </c>
      <c r="J186" s="37"/>
    </row>
    <row r="187" spans="2:10" ht="29.25" hidden="1" customHeight="1">
      <c r="B187" s="31">
        <v>1</v>
      </c>
      <c r="C187" s="33" t="s">
        <v>203</v>
      </c>
      <c r="D187" s="33"/>
      <c r="E187" s="41">
        <v>41767</v>
      </c>
      <c r="F187" s="36">
        <v>41767</v>
      </c>
      <c r="G187" s="37" t="s">
        <v>24</v>
      </c>
      <c r="H187" s="37" t="s">
        <v>57</v>
      </c>
      <c r="I187" s="36">
        <v>41767</v>
      </c>
      <c r="J187" s="37"/>
    </row>
    <row r="188" spans="2:10" ht="29.25" hidden="1" customHeight="1">
      <c r="B188" s="31">
        <v>1</v>
      </c>
      <c r="C188" s="33" t="s">
        <v>202</v>
      </c>
      <c r="D188" s="33"/>
      <c r="E188" s="41">
        <v>41767</v>
      </c>
      <c r="F188" s="36">
        <v>41767</v>
      </c>
      <c r="G188" s="37" t="s">
        <v>25</v>
      </c>
      <c r="H188" s="37" t="s">
        <v>39</v>
      </c>
      <c r="I188" s="36">
        <v>41767</v>
      </c>
      <c r="J188" s="37"/>
    </row>
    <row r="189" spans="2:10" ht="29.25" hidden="1" customHeight="1">
      <c r="B189" s="31">
        <v>1</v>
      </c>
      <c r="C189" s="33" t="s">
        <v>217</v>
      </c>
      <c r="D189" s="33"/>
      <c r="E189" s="41">
        <v>41767</v>
      </c>
      <c r="F189" s="36">
        <v>41767</v>
      </c>
      <c r="G189" s="37" t="s">
        <v>25</v>
      </c>
      <c r="H189" s="37" t="s">
        <v>189</v>
      </c>
      <c r="I189" s="36">
        <v>41772</v>
      </c>
      <c r="J189" s="37"/>
    </row>
    <row r="190" spans="2:10" ht="60.75" hidden="1" customHeight="1">
      <c r="B190" s="31">
        <v>1</v>
      </c>
      <c r="C190" s="33" t="s">
        <v>218</v>
      </c>
      <c r="D190" s="33"/>
      <c r="E190" s="41">
        <v>41768</v>
      </c>
      <c r="F190" s="36">
        <v>41771</v>
      </c>
      <c r="G190" s="37" t="s">
        <v>25</v>
      </c>
      <c r="H190" s="37" t="s">
        <v>64</v>
      </c>
      <c r="I190" s="36">
        <v>41772</v>
      </c>
      <c r="J190" s="37"/>
    </row>
    <row r="191" spans="2:10" ht="29.25" hidden="1" customHeight="1">
      <c r="B191" s="31">
        <v>1</v>
      </c>
      <c r="C191" s="33" t="s">
        <v>219</v>
      </c>
      <c r="D191" s="33"/>
      <c r="E191" s="41">
        <v>41768</v>
      </c>
      <c r="F191" s="36">
        <v>41772</v>
      </c>
      <c r="G191" s="37" t="s">
        <v>26</v>
      </c>
      <c r="H191" s="37" t="s">
        <v>146</v>
      </c>
      <c r="I191" s="36">
        <v>41772</v>
      </c>
      <c r="J191" s="37"/>
    </row>
    <row r="192" spans="2:10" ht="29.25" hidden="1" customHeight="1">
      <c r="B192" s="31">
        <v>1</v>
      </c>
      <c r="C192" s="33" t="s">
        <v>204</v>
      </c>
      <c r="D192" s="33"/>
      <c r="E192" s="41">
        <v>41768</v>
      </c>
      <c r="F192" s="36">
        <v>41768</v>
      </c>
      <c r="G192" s="37" t="s">
        <v>24</v>
      </c>
      <c r="H192" s="37" t="s">
        <v>33</v>
      </c>
      <c r="I192" s="36">
        <v>41772</v>
      </c>
      <c r="J192" s="37"/>
    </row>
    <row r="193" spans="2:10" ht="38.25" hidden="1" customHeight="1">
      <c r="B193" s="31">
        <v>1</v>
      </c>
      <c r="C193" s="33" t="s">
        <v>300</v>
      </c>
      <c r="D193" s="33"/>
      <c r="E193" s="41">
        <v>41785</v>
      </c>
      <c r="F193" s="36">
        <v>41806</v>
      </c>
      <c r="G193" s="37" t="s">
        <v>24</v>
      </c>
      <c r="H193" s="37" t="s">
        <v>34</v>
      </c>
      <c r="I193" s="36">
        <v>41813</v>
      </c>
      <c r="J193" s="37"/>
    </row>
    <row r="194" spans="2:10" ht="29.25" hidden="1" customHeight="1">
      <c r="B194" s="31">
        <v>1</v>
      </c>
      <c r="C194" s="33" t="s">
        <v>255</v>
      </c>
      <c r="D194" s="33"/>
      <c r="E194" s="41">
        <v>41781</v>
      </c>
      <c r="F194" s="36">
        <v>41786</v>
      </c>
      <c r="G194" s="37" t="s">
        <v>25</v>
      </c>
      <c r="H194" s="37" t="s">
        <v>21</v>
      </c>
      <c r="I194" s="36">
        <v>41781</v>
      </c>
      <c r="J194" s="37"/>
    </row>
    <row r="195" spans="2:10" ht="29.25" hidden="1" customHeight="1">
      <c r="B195" s="31">
        <v>1</v>
      </c>
      <c r="C195" s="33" t="s">
        <v>205</v>
      </c>
      <c r="D195" s="33"/>
      <c r="E195" s="41">
        <v>41768</v>
      </c>
      <c r="F195" s="36">
        <v>41768</v>
      </c>
      <c r="G195" s="37" t="s">
        <v>25</v>
      </c>
      <c r="H195" s="37" t="s">
        <v>34</v>
      </c>
      <c r="I195" s="36">
        <v>41772</v>
      </c>
      <c r="J195" s="37"/>
    </row>
    <row r="196" spans="2:10" ht="29.25" hidden="1" customHeight="1">
      <c r="B196" s="31">
        <v>1</v>
      </c>
      <c r="C196" s="33" t="s">
        <v>229</v>
      </c>
      <c r="D196" s="33"/>
      <c r="E196" s="41">
        <v>41774</v>
      </c>
      <c r="F196" s="36">
        <v>41774</v>
      </c>
      <c r="G196" s="37" t="s">
        <v>25</v>
      </c>
      <c r="H196" s="37" t="s">
        <v>21</v>
      </c>
      <c r="I196" s="36">
        <v>41775</v>
      </c>
      <c r="J196" s="37"/>
    </row>
    <row r="197" spans="2:10" ht="37.5" hidden="1" customHeight="1">
      <c r="B197" s="31">
        <v>1</v>
      </c>
      <c r="C197" s="33" t="s">
        <v>227</v>
      </c>
      <c r="D197" s="33"/>
      <c r="E197" s="41">
        <v>41774</v>
      </c>
      <c r="F197" s="36">
        <v>41775</v>
      </c>
      <c r="G197" s="37" t="s">
        <v>25</v>
      </c>
      <c r="H197" s="37" t="s">
        <v>16</v>
      </c>
      <c r="I197" s="36">
        <v>41787</v>
      </c>
      <c r="J197" s="37"/>
    </row>
    <row r="198" spans="2:10" ht="40.5" hidden="1" customHeight="1">
      <c r="B198" s="31">
        <v>1</v>
      </c>
      <c r="C198" s="33" t="s">
        <v>208</v>
      </c>
      <c r="D198" s="33"/>
      <c r="E198" s="41">
        <v>41770</v>
      </c>
      <c r="F198" s="36">
        <v>41770</v>
      </c>
      <c r="G198" s="37" t="s">
        <v>25</v>
      </c>
      <c r="H198" s="37" t="s">
        <v>209</v>
      </c>
      <c r="I198" s="36">
        <v>41772</v>
      </c>
      <c r="J198" s="37"/>
    </row>
    <row r="199" spans="2:10" ht="48.75" hidden="1" customHeight="1">
      <c r="B199" s="31">
        <v>1</v>
      </c>
      <c r="C199" s="47" t="s">
        <v>280</v>
      </c>
      <c r="D199" s="47"/>
      <c r="E199" s="41">
        <v>41759</v>
      </c>
      <c r="F199" s="36">
        <v>41775</v>
      </c>
      <c r="G199" s="37" t="s">
        <v>25</v>
      </c>
      <c r="H199" s="37" t="s">
        <v>16</v>
      </c>
      <c r="I199" s="36">
        <v>41787</v>
      </c>
      <c r="J199" s="37"/>
    </row>
    <row r="200" spans="2:10" ht="39" hidden="1" customHeight="1">
      <c r="B200" s="31">
        <v>1</v>
      </c>
      <c r="C200" s="33" t="s">
        <v>269</v>
      </c>
      <c r="D200" s="33"/>
      <c r="E200" s="41">
        <v>41781</v>
      </c>
      <c r="F200" s="36">
        <v>41786</v>
      </c>
      <c r="G200" s="37" t="s">
        <v>24</v>
      </c>
      <c r="H200" s="37" t="s">
        <v>34</v>
      </c>
      <c r="I200" s="36">
        <v>41786</v>
      </c>
      <c r="J200" s="37"/>
    </row>
    <row r="201" spans="2:10" ht="47.25" hidden="1" customHeight="1">
      <c r="B201" s="31">
        <v>1</v>
      </c>
      <c r="C201" s="33" t="s">
        <v>220</v>
      </c>
      <c r="D201" s="33"/>
      <c r="E201" s="41">
        <v>41771</v>
      </c>
      <c r="F201" s="36">
        <v>41780</v>
      </c>
      <c r="G201" s="37" t="s">
        <v>24</v>
      </c>
      <c r="H201" s="37" t="s">
        <v>34</v>
      </c>
      <c r="I201" s="36">
        <v>41773</v>
      </c>
      <c r="J201" s="37"/>
    </row>
    <row r="202" spans="2:10" ht="48" hidden="1" customHeight="1">
      <c r="B202" s="31">
        <v>1</v>
      </c>
      <c r="C202" s="33" t="s">
        <v>212</v>
      </c>
      <c r="D202" s="33"/>
      <c r="E202" s="41">
        <v>41771</v>
      </c>
      <c r="F202" s="36">
        <v>41771</v>
      </c>
      <c r="G202" s="37" t="s">
        <v>25</v>
      </c>
      <c r="H202" s="37" t="s">
        <v>146</v>
      </c>
      <c r="I202" s="36">
        <v>41772</v>
      </c>
      <c r="J202" s="37"/>
    </row>
    <row r="203" spans="2:10" ht="29.25" hidden="1" customHeight="1">
      <c r="B203" s="31">
        <v>1</v>
      </c>
      <c r="C203" s="33" t="s">
        <v>303</v>
      </c>
      <c r="D203" s="33"/>
      <c r="E203" s="41">
        <v>41785</v>
      </c>
      <c r="F203" s="36">
        <v>41788</v>
      </c>
      <c r="G203" s="37" t="s">
        <v>24</v>
      </c>
      <c r="H203" s="37" t="s">
        <v>88</v>
      </c>
      <c r="I203" s="36">
        <v>41800</v>
      </c>
      <c r="J203" s="37"/>
    </row>
    <row r="204" spans="2:10" ht="42" hidden="1" customHeight="1">
      <c r="B204" s="31">
        <v>1</v>
      </c>
      <c r="C204" s="33" t="s">
        <v>213</v>
      </c>
      <c r="D204" s="33"/>
      <c r="E204" s="41">
        <v>41771</v>
      </c>
      <c r="F204" s="36">
        <v>41773</v>
      </c>
      <c r="G204" s="37" t="s">
        <v>25</v>
      </c>
      <c r="H204" s="37" t="s">
        <v>34</v>
      </c>
      <c r="I204" s="36">
        <v>41772</v>
      </c>
      <c r="J204" s="37"/>
    </row>
    <row r="205" spans="2:10" ht="45.75" hidden="1" customHeight="1">
      <c r="B205" s="31">
        <v>1</v>
      </c>
      <c r="C205" s="33" t="s">
        <v>230</v>
      </c>
      <c r="D205" s="33"/>
      <c r="E205" s="41">
        <v>41772</v>
      </c>
      <c r="F205" s="36">
        <v>41780</v>
      </c>
      <c r="G205" s="37" t="s">
        <v>25</v>
      </c>
      <c r="H205" s="37" t="s">
        <v>34</v>
      </c>
      <c r="I205" s="36">
        <v>41775</v>
      </c>
      <c r="J205" s="37"/>
    </row>
    <row r="206" spans="2:10" ht="46.5" hidden="1" customHeight="1">
      <c r="B206" s="31">
        <v>1</v>
      </c>
      <c r="C206" s="33" t="s">
        <v>236</v>
      </c>
      <c r="D206" s="33"/>
      <c r="E206" s="41">
        <v>41771</v>
      </c>
      <c r="F206" s="36">
        <v>41778</v>
      </c>
      <c r="G206" s="37" t="s">
        <v>25</v>
      </c>
      <c r="H206" s="37" t="s">
        <v>34</v>
      </c>
      <c r="I206" s="36">
        <v>41781</v>
      </c>
      <c r="J206" s="37"/>
    </row>
    <row r="207" spans="2:10" ht="29.25" hidden="1" customHeight="1">
      <c r="B207" s="31">
        <v>1</v>
      </c>
      <c r="C207" s="47" t="s">
        <v>333</v>
      </c>
      <c r="D207" s="47"/>
      <c r="E207" s="41">
        <v>41817</v>
      </c>
      <c r="F207" s="36">
        <v>41817</v>
      </c>
      <c r="G207" s="37" t="s">
        <v>24</v>
      </c>
      <c r="H207" s="37" t="s">
        <v>34</v>
      </c>
      <c r="I207" s="36">
        <v>41820</v>
      </c>
      <c r="J207" s="37"/>
    </row>
    <row r="208" spans="2:10" ht="29.25" hidden="1" customHeight="1">
      <c r="B208" s="31">
        <v>1</v>
      </c>
      <c r="C208" s="33" t="s">
        <v>256</v>
      </c>
      <c r="D208" s="33"/>
      <c r="E208" s="41">
        <v>41785</v>
      </c>
      <c r="F208" s="36">
        <v>41786</v>
      </c>
      <c r="G208" s="37" t="s">
        <v>25</v>
      </c>
      <c r="H208" s="37" t="s">
        <v>80</v>
      </c>
      <c r="I208" s="36">
        <v>41787</v>
      </c>
      <c r="J208" s="37"/>
    </row>
    <row r="209" spans="2:10" ht="29.25" hidden="1" customHeight="1">
      <c r="B209" s="31">
        <v>1</v>
      </c>
      <c r="C209" s="47" t="s">
        <v>223</v>
      </c>
      <c r="D209" s="47"/>
      <c r="E209" s="41">
        <v>41772</v>
      </c>
      <c r="F209" s="36">
        <v>41782</v>
      </c>
      <c r="G209" s="37" t="s">
        <v>25</v>
      </c>
      <c r="H209" s="37" t="s">
        <v>34</v>
      </c>
      <c r="I209" s="36">
        <v>41781</v>
      </c>
      <c r="J209" s="37"/>
    </row>
    <row r="210" spans="2:10" ht="39" hidden="1" customHeight="1">
      <c r="B210" s="31">
        <v>1</v>
      </c>
      <c r="C210" s="33" t="s">
        <v>221</v>
      </c>
      <c r="D210" s="33"/>
      <c r="E210" s="41">
        <v>41782</v>
      </c>
      <c r="F210" s="36">
        <v>41782</v>
      </c>
      <c r="G210" s="37" t="s">
        <v>25</v>
      </c>
      <c r="H210" s="37" t="s">
        <v>34</v>
      </c>
      <c r="I210" s="36">
        <v>41778</v>
      </c>
      <c r="J210" s="37"/>
    </row>
    <row r="211" spans="2:10" ht="29.25" hidden="1" customHeight="1">
      <c r="B211" s="31">
        <v>1</v>
      </c>
      <c r="C211" s="33" t="s">
        <v>65</v>
      </c>
      <c r="D211" s="33"/>
      <c r="E211" s="41">
        <v>41759</v>
      </c>
      <c r="F211" s="36">
        <v>41768</v>
      </c>
      <c r="G211" s="37" t="s">
        <v>26</v>
      </c>
      <c r="H211" s="37" t="s">
        <v>57</v>
      </c>
      <c r="I211" s="36">
        <v>41775</v>
      </c>
      <c r="J211" s="37"/>
    </row>
    <row r="212" spans="2:10" ht="29.25" hidden="1" customHeight="1">
      <c r="B212" s="31">
        <v>1</v>
      </c>
      <c r="C212" s="33" t="s">
        <v>226</v>
      </c>
      <c r="D212" s="33"/>
      <c r="E212" s="41">
        <v>41774</v>
      </c>
      <c r="F212" s="36">
        <v>41775</v>
      </c>
      <c r="G212" s="37" t="s">
        <v>25</v>
      </c>
      <c r="H212" s="37" t="s">
        <v>34</v>
      </c>
      <c r="I212" s="36">
        <v>41774</v>
      </c>
      <c r="J212" s="37"/>
    </row>
    <row r="213" spans="2:10" ht="29.25" hidden="1" customHeight="1">
      <c r="B213" s="31">
        <v>1</v>
      </c>
      <c r="C213" s="33" t="s">
        <v>354</v>
      </c>
      <c r="D213" s="33"/>
      <c r="E213" s="41">
        <v>41823</v>
      </c>
      <c r="F213" s="36">
        <v>41822</v>
      </c>
      <c r="G213" s="37" t="s">
        <v>24</v>
      </c>
      <c r="H213" s="37" t="s">
        <v>34</v>
      </c>
      <c r="I213" s="36">
        <v>41833</v>
      </c>
      <c r="J213" s="37"/>
    </row>
    <row r="214" spans="2:10" ht="52.5" hidden="1" customHeight="1">
      <c r="B214" s="31">
        <v>1</v>
      </c>
      <c r="C214" s="33" t="s">
        <v>275</v>
      </c>
      <c r="D214" s="33"/>
      <c r="E214" s="41">
        <v>41781</v>
      </c>
      <c r="F214" s="36">
        <v>41781</v>
      </c>
      <c r="G214" s="37" t="s">
        <v>25</v>
      </c>
      <c r="H214" s="37" t="s">
        <v>16</v>
      </c>
      <c r="I214" s="36">
        <v>41787</v>
      </c>
      <c r="J214" s="37"/>
    </row>
    <row r="215" spans="2:10" ht="29.25" hidden="1" customHeight="1">
      <c r="B215" s="31">
        <v>1</v>
      </c>
      <c r="C215" s="33" t="s">
        <v>211</v>
      </c>
      <c r="D215" s="33"/>
      <c r="E215" s="41">
        <v>41771</v>
      </c>
      <c r="F215" s="36">
        <v>41771</v>
      </c>
      <c r="G215" s="37" t="s">
        <v>26</v>
      </c>
      <c r="H215" s="37" t="s">
        <v>146</v>
      </c>
      <c r="I215" s="36">
        <v>41787</v>
      </c>
      <c r="J215" s="37"/>
    </row>
    <row r="216" spans="2:10" ht="29.25" hidden="1" customHeight="1">
      <c r="B216" s="31">
        <v>1</v>
      </c>
      <c r="C216" s="33" t="s">
        <v>210</v>
      </c>
      <c r="D216" s="33"/>
      <c r="E216" s="41">
        <v>41771</v>
      </c>
      <c r="F216" s="36">
        <v>41772</v>
      </c>
      <c r="G216" s="37" t="s">
        <v>26</v>
      </c>
      <c r="H216" s="37" t="s">
        <v>21</v>
      </c>
      <c r="I216" s="36">
        <v>41781</v>
      </c>
      <c r="J216" s="37"/>
    </row>
    <row r="217" spans="2:10" ht="35.25" hidden="1" customHeight="1">
      <c r="B217" s="31">
        <v>1</v>
      </c>
      <c r="C217" s="47" t="s">
        <v>232</v>
      </c>
      <c r="D217" s="47"/>
      <c r="E217" s="41">
        <v>41773</v>
      </c>
      <c r="F217" s="36">
        <v>41775</v>
      </c>
      <c r="G217" s="37" t="s">
        <v>26</v>
      </c>
      <c r="H217" s="37" t="s">
        <v>21</v>
      </c>
      <c r="I217" s="36">
        <v>41775</v>
      </c>
      <c r="J217" s="37"/>
    </row>
    <row r="218" spans="2:10" ht="29.25" hidden="1" customHeight="1">
      <c r="B218" s="31">
        <v>1</v>
      </c>
      <c r="C218" s="33" t="s">
        <v>257</v>
      </c>
      <c r="D218" s="33"/>
      <c r="E218" s="41">
        <v>41772</v>
      </c>
      <c r="F218" s="36">
        <v>41773</v>
      </c>
      <c r="G218" s="37" t="s">
        <v>26</v>
      </c>
      <c r="H218" s="37" t="s">
        <v>146</v>
      </c>
      <c r="I218" s="36">
        <v>41781</v>
      </c>
      <c r="J218" s="37"/>
    </row>
    <row r="219" spans="2:10" ht="29.25" hidden="1" customHeight="1">
      <c r="B219" s="31">
        <v>1</v>
      </c>
      <c r="C219" s="33" t="s">
        <v>234</v>
      </c>
      <c r="D219" s="33"/>
      <c r="E219" s="41">
        <v>41774</v>
      </c>
      <c r="F219" s="36">
        <v>41774</v>
      </c>
      <c r="G219" s="37" t="s">
        <v>26</v>
      </c>
      <c r="H219" s="37" t="s">
        <v>89</v>
      </c>
      <c r="I219" s="36">
        <v>41777</v>
      </c>
      <c r="J219" s="37"/>
    </row>
    <row r="220" spans="2:10" ht="29.25" hidden="1" customHeight="1">
      <c r="B220" s="31">
        <v>1</v>
      </c>
      <c r="C220" s="33" t="s">
        <v>258</v>
      </c>
      <c r="D220" s="33"/>
      <c r="E220" s="41">
        <v>41775</v>
      </c>
      <c r="F220" s="36">
        <v>41775</v>
      </c>
      <c r="G220" s="37" t="s">
        <v>26</v>
      </c>
      <c r="H220" s="37" t="s">
        <v>89</v>
      </c>
      <c r="I220" s="36">
        <v>41781</v>
      </c>
      <c r="J220" s="37"/>
    </row>
    <row r="221" spans="2:10" ht="72" hidden="1" customHeight="1">
      <c r="B221" s="31">
        <v>1</v>
      </c>
      <c r="C221" s="33" t="s">
        <v>231</v>
      </c>
      <c r="D221" s="33"/>
      <c r="E221" s="41">
        <v>41753</v>
      </c>
      <c r="F221" s="36">
        <v>41788</v>
      </c>
      <c r="G221" s="37" t="s">
        <v>26</v>
      </c>
      <c r="H221" s="37" t="s">
        <v>161</v>
      </c>
      <c r="I221" s="36">
        <v>41781</v>
      </c>
      <c r="J221" s="37"/>
    </row>
    <row r="222" spans="2:10" ht="39" hidden="1" customHeight="1">
      <c r="B222" s="31">
        <v>1</v>
      </c>
      <c r="C222" s="33" t="s">
        <v>268</v>
      </c>
      <c r="D222" s="33"/>
      <c r="E222" s="41">
        <v>41786</v>
      </c>
      <c r="F222" s="36">
        <v>41799</v>
      </c>
      <c r="G222" s="37" t="s">
        <v>24</v>
      </c>
      <c r="H222" s="37" t="s">
        <v>34</v>
      </c>
      <c r="I222" s="36">
        <v>41814</v>
      </c>
      <c r="J222" s="37"/>
    </row>
    <row r="223" spans="2:10" ht="45.75" hidden="1" customHeight="1">
      <c r="B223" s="31">
        <v>1</v>
      </c>
      <c r="C223" s="33" t="s">
        <v>238</v>
      </c>
      <c r="D223" s="33"/>
      <c r="E223" s="41">
        <v>41781</v>
      </c>
      <c r="F223" s="36">
        <v>41781</v>
      </c>
      <c r="G223" s="37" t="s">
        <v>25</v>
      </c>
      <c r="H223" s="37" t="s">
        <v>146</v>
      </c>
      <c r="I223" s="36">
        <v>41787</v>
      </c>
      <c r="J223" s="37"/>
    </row>
    <row r="224" spans="2:10" ht="35.25" hidden="1" customHeight="1">
      <c r="B224" s="31">
        <v>1</v>
      </c>
      <c r="C224" s="33" t="s">
        <v>344</v>
      </c>
      <c r="D224" s="33"/>
      <c r="E224" s="41">
        <v>41821</v>
      </c>
      <c r="F224" s="36">
        <v>41824</v>
      </c>
      <c r="G224" s="37" t="s">
        <v>24</v>
      </c>
      <c r="H224" s="37" t="s">
        <v>57</v>
      </c>
      <c r="I224" s="36">
        <v>41833</v>
      </c>
      <c r="J224" s="37"/>
    </row>
    <row r="225" spans="2:10" ht="75.75" hidden="1" customHeight="1">
      <c r="B225" s="31">
        <v>1</v>
      </c>
      <c r="C225" s="33" t="s">
        <v>237</v>
      </c>
      <c r="D225" s="33"/>
      <c r="E225" s="41">
        <v>41778</v>
      </c>
      <c r="F225" s="36">
        <v>41779</v>
      </c>
      <c r="G225" s="37" t="s">
        <v>25</v>
      </c>
      <c r="H225" s="37" t="s">
        <v>34</v>
      </c>
      <c r="I225" s="36">
        <v>41781</v>
      </c>
      <c r="J225" s="37"/>
    </row>
    <row r="226" spans="2:10" ht="36.75" hidden="1" customHeight="1">
      <c r="B226" s="31">
        <v>1</v>
      </c>
      <c r="C226" s="33" t="s">
        <v>259</v>
      </c>
      <c r="D226" s="33"/>
      <c r="E226" s="41">
        <v>41781</v>
      </c>
      <c r="F226" s="36">
        <v>41782</v>
      </c>
      <c r="G226" s="37" t="s">
        <v>25</v>
      </c>
      <c r="H226" s="37" t="s">
        <v>185</v>
      </c>
      <c r="I226" s="36">
        <v>41787</v>
      </c>
      <c r="J226" s="37"/>
    </row>
    <row r="227" spans="2:10" ht="29.25" hidden="1" customHeight="1">
      <c r="B227" s="31">
        <v>1</v>
      </c>
      <c r="C227" s="33" t="s">
        <v>246</v>
      </c>
      <c r="D227" s="33"/>
      <c r="E227" s="41">
        <v>41781</v>
      </c>
      <c r="F227" s="36">
        <v>41785</v>
      </c>
      <c r="G227" s="37" t="s">
        <v>26</v>
      </c>
      <c r="H227" s="37" t="s">
        <v>185</v>
      </c>
      <c r="I227" s="36">
        <v>41787</v>
      </c>
      <c r="J227" s="37"/>
    </row>
    <row r="228" spans="2:10" ht="46.5" hidden="1" customHeight="1">
      <c r="B228" s="31">
        <v>1</v>
      </c>
      <c r="C228" s="33" t="s">
        <v>318</v>
      </c>
      <c r="D228" s="33"/>
      <c r="E228" s="41">
        <v>41786</v>
      </c>
      <c r="F228" s="36">
        <v>41789</v>
      </c>
      <c r="G228" s="37" t="s">
        <v>24</v>
      </c>
      <c r="H228" s="37" t="s">
        <v>57</v>
      </c>
      <c r="I228" s="36">
        <v>41814</v>
      </c>
      <c r="J228" s="37"/>
    </row>
    <row r="229" spans="2:10" ht="29.25" hidden="1" customHeight="1">
      <c r="B229" s="31">
        <v>1</v>
      </c>
      <c r="C229" s="33" t="s">
        <v>286</v>
      </c>
      <c r="D229" s="33"/>
      <c r="E229" s="41">
        <v>41793</v>
      </c>
      <c r="F229" s="36">
        <v>41808</v>
      </c>
      <c r="G229" s="37" t="s">
        <v>25</v>
      </c>
      <c r="H229" s="37" t="s">
        <v>34</v>
      </c>
      <c r="I229" s="36">
        <v>41807</v>
      </c>
      <c r="J229" s="37"/>
    </row>
    <row r="230" spans="2:10" ht="29.25" hidden="1" customHeight="1">
      <c r="B230" s="31">
        <v>1</v>
      </c>
      <c r="C230" s="33" t="s">
        <v>247</v>
      </c>
      <c r="D230" s="33"/>
      <c r="E230" s="41">
        <v>41781</v>
      </c>
      <c r="F230" s="36">
        <v>41782</v>
      </c>
      <c r="G230" s="37" t="s">
        <v>24</v>
      </c>
      <c r="H230" s="37" t="s">
        <v>248</v>
      </c>
      <c r="I230" s="36">
        <v>41787</v>
      </c>
      <c r="J230" s="37"/>
    </row>
    <row r="231" spans="2:10" ht="39" hidden="1" customHeight="1">
      <c r="B231" s="31">
        <v>1</v>
      </c>
      <c r="C231" s="33" t="s">
        <v>249</v>
      </c>
      <c r="D231" s="33"/>
      <c r="E231" s="41">
        <v>41780</v>
      </c>
      <c r="F231" s="36">
        <v>41780</v>
      </c>
      <c r="G231" s="37" t="s">
        <v>25</v>
      </c>
      <c r="H231" s="37" t="s">
        <v>34</v>
      </c>
      <c r="I231" s="36">
        <v>41781</v>
      </c>
      <c r="J231" s="37"/>
    </row>
    <row r="232" spans="2:10" ht="29.25" hidden="1" customHeight="1">
      <c r="B232" s="31">
        <v>1</v>
      </c>
      <c r="C232" s="33" t="s">
        <v>272</v>
      </c>
      <c r="D232" s="33"/>
      <c r="E232" s="41">
        <v>41786</v>
      </c>
      <c r="F232" s="36">
        <v>41786</v>
      </c>
      <c r="G232" s="37" t="s">
        <v>25</v>
      </c>
      <c r="H232" s="37" t="s">
        <v>261</v>
      </c>
      <c r="I232" s="36">
        <v>41787</v>
      </c>
      <c r="J232" s="37"/>
    </row>
    <row r="233" spans="2:10" ht="21" hidden="1" customHeight="1">
      <c r="B233" s="31">
        <v>1</v>
      </c>
      <c r="C233" s="47" t="s">
        <v>285</v>
      </c>
      <c r="D233" s="47"/>
      <c r="E233" s="41">
        <v>41787</v>
      </c>
      <c r="F233" s="36">
        <v>41788</v>
      </c>
      <c r="G233" s="37" t="s">
        <v>24</v>
      </c>
      <c r="H233" s="37" t="s">
        <v>34</v>
      </c>
      <c r="I233" s="36">
        <v>41795</v>
      </c>
      <c r="J233" s="37"/>
    </row>
    <row r="234" spans="2:10" ht="51.75" hidden="1" customHeight="1">
      <c r="B234" s="31">
        <v>1</v>
      </c>
      <c r="C234" s="33" t="s">
        <v>239</v>
      </c>
      <c r="D234" s="33"/>
      <c r="E234" s="41">
        <v>41781</v>
      </c>
      <c r="F234" s="36">
        <v>41781</v>
      </c>
      <c r="G234" s="37" t="s">
        <v>25</v>
      </c>
      <c r="H234" s="37" t="s">
        <v>35</v>
      </c>
      <c r="I234" s="36">
        <v>41787</v>
      </c>
      <c r="J234" s="37"/>
    </row>
    <row r="235" spans="2:10" ht="29.25" hidden="1" customHeight="1">
      <c r="B235" s="31">
        <v>1</v>
      </c>
      <c r="C235" s="33" t="s">
        <v>332</v>
      </c>
      <c r="D235" s="33"/>
      <c r="E235" s="41">
        <v>41820</v>
      </c>
      <c r="F235" s="36">
        <v>41831</v>
      </c>
      <c r="G235" s="37" t="s">
        <v>26</v>
      </c>
      <c r="H235" s="37" t="s">
        <v>261</v>
      </c>
      <c r="I235" s="36">
        <v>41820</v>
      </c>
      <c r="J235" s="37"/>
    </row>
    <row r="236" spans="2:10" ht="29.25" hidden="1" customHeight="1">
      <c r="B236" s="31">
        <v>1</v>
      </c>
      <c r="C236" s="33" t="s">
        <v>241</v>
      </c>
      <c r="D236" s="33"/>
      <c r="E236" s="41">
        <v>41781</v>
      </c>
      <c r="F236" s="36">
        <v>41785</v>
      </c>
      <c r="G236" s="37" t="s">
        <v>26</v>
      </c>
      <c r="H236" s="37" t="s">
        <v>146</v>
      </c>
      <c r="I236" s="36">
        <v>41787</v>
      </c>
      <c r="J236" s="37"/>
    </row>
    <row r="237" spans="2:10" ht="44.25" hidden="1" customHeight="1">
      <c r="B237" s="31">
        <v>1</v>
      </c>
      <c r="C237" s="47" t="s">
        <v>345</v>
      </c>
      <c r="D237" s="47"/>
      <c r="E237" s="41">
        <v>41821</v>
      </c>
      <c r="F237" s="36">
        <v>41822</v>
      </c>
      <c r="G237" s="37" t="s">
        <v>24</v>
      </c>
      <c r="H237" s="37" t="s">
        <v>110</v>
      </c>
      <c r="I237" s="36">
        <v>41833</v>
      </c>
      <c r="J237" s="37"/>
    </row>
    <row r="238" spans="2:10" ht="42.75" hidden="1" customHeight="1">
      <c r="B238" s="31">
        <v>1</v>
      </c>
      <c r="C238" s="33" t="s">
        <v>319</v>
      </c>
      <c r="D238" s="33"/>
      <c r="E238" s="41">
        <v>41795</v>
      </c>
      <c r="F238" s="36">
        <v>41795</v>
      </c>
      <c r="G238" s="37" t="s">
        <v>24</v>
      </c>
      <c r="H238" s="37" t="s">
        <v>182</v>
      </c>
      <c r="I238" s="36">
        <v>41814</v>
      </c>
      <c r="J238" s="37"/>
    </row>
    <row r="239" spans="2:10" ht="29.25" hidden="1" customHeight="1">
      <c r="B239" s="31">
        <v>1</v>
      </c>
      <c r="C239" s="33" t="s">
        <v>265</v>
      </c>
      <c r="D239" s="33"/>
      <c r="E239" s="41">
        <v>41782</v>
      </c>
      <c r="F239" s="36">
        <v>41782</v>
      </c>
      <c r="G239" s="37" t="s">
        <v>25</v>
      </c>
      <c r="H239" s="37" t="s">
        <v>34</v>
      </c>
      <c r="I239" s="36">
        <v>41782</v>
      </c>
      <c r="J239" s="37"/>
    </row>
    <row r="240" spans="2:10" ht="29.25" hidden="1" customHeight="1">
      <c r="B240" s="31">
        <v>1</v>
      </c>
      <c r="C240" s="33" t="s">
        <v>445</v>
      </c>
      <c r="D240" s="41"/>
      <c r="E240" s="41">
        <v>41842</v>
      </c>
      <c r="F240" s="36">
        <v>41843</v>
      </c>
      <c r="G240" s="37" t="s">
        <v>25</v>
      </c>
      <c r="H240" s="37" t="s">
        <v>88</v>
      </c>
      <c r="I240" s="36">
        <v>41906</v>
      </c>
      <c r="J240" s="37"/>
    </row>
    <row r="241" spans="2:10" ht="43.5" hidden="1" customHeight="1">
      <c r="B241" s="31">
        <v>1</v>
      </c>
      <c r="C241" s="33" t="s">
        <v>254</v>
      </c>
      <c r="D241" s="33"/>
      <c r="E241" s="41">
        <v>41781</v>
      </c>
      <c r="F241" s="36">
        <v>41788</v>
      </c>
      <c r="G241" s="37" t="s">
        <v>25</v>
      </c>
      <c r="H241" s="37" t="s">
        <v>39</v>
      </c>
      <c r="I241" s="36">
        <v>41814</v>
      </c>
      <c r="J241" s="37"/>
    </row>
    <row r="242" spans="2:10" ht="42" hidden="1" customHeight="1">
      <c r="B242" s="31">
        <v>1</v>
      </c>
      <c r="C242" s="33" t="s">
        <v>287</v>
      </c>
      <c r="D242" s="33"/>
      <c r="E242" s="41">
        <v>41782</v>
      </c>
      <c r="F242" s="36">
        <v>41808</v>
      </c>
      <c r="G242" s="37" t="s">
        <v>26</v>
      </c>
      <c r="H242" s="37" t="s">
        <v>34</v>
      </c>
      <c r="I242" s="36">
        <v>41793</v>
      </c>
      <c r="J242" s="37"/>
    </row>
    <row r="243" spans="2:10" ht="29.25" hidden="1" customHeight="1">
      <c r="B243" s="31">
        <v>1</v>
      </c>
      <c r="C243" s="33" t="s">
        <v>320</v>
      </c>
      <c r="D243" s="33"/>
      <c r="E243" s="41">
        <v>41768</v>
      </c>
      <c r="F243" s="36">
        <v>41789</v>
      </c>
      <c r="G243" s="37" t="s">
        <v>25</v>
      </c>
      <c r="H243" s="37" t="s">
        <v>67</v>
      </c>
      <c r="I243" s="36">
        <v>41814</v>
      </c>
      <c r="J243" s="37"/>
    </row>
    <row r="244" spans="2:10" ht="42" hidden="1" customHeight="1">
      <c r="B244" s="31">
        <v>1</v>
      </c>
      <c r="C244" s="33" t="s">
        <v>306</v>
      </c>
      <c r="D244" s="33"/>
      <c r="E244" s="41">
        <v>41789</v>
      </c>
      <c r="F244" s="36">
        <v>41803</v>
      </c>
      <c r="G244" s="37" t="s">
        <v>25</v>
      </c>
      <c r="H244" s="37" t="s">
        <v>34</v>
      </c>
      <c r="I244" s="36">
        <v>41814</v>
      </c>
      <c r="J244" s="37"/>
    </row>
    <row r="245" spans="2:10" ht="39" hidden="1" customHeight="1">
      <c r="B245" s="31">
        <v>1</v>
      </c>
      <c r="C245" s="47" t="s">
        <v>346</v>
      </c>
      <c r="D245" s="47"/>
      <c r="E245" s="41">
        <v>41821</v>
      </c>
      <c r="F245" s="36">
        <v>41838</v>
      </c>
      <c r="G245" s="37" t="s">
        <v>25</v>
      </c>
      <c r="H245" s="37" t="s">
        <v>261</v>
      </c>
      <c r="I245" s="36">
        <v>41833</v>
      </c>
      <c r="J245" s="37"/>
    </row>
    <row r="246" spans="2:10" ht="36.75" hidden="1" customHeight="1">
      <c r="B246" s="31">
        <v>1</v>
      </c>
      <c r="C246" s="33" t="s">
        <v>242</v>
      </c>
      <c r="D246" s="33"/>
      <c r="E246" s="41">
        <v>41785</v>
      </c>
      <c r="F246" s="36">
        <v>41785</v>
      </c>
      <c r="G246" s="37" t="s">
        <v>25</v>
      </c>
      <c r="H246" s="37" t="s">
        <v>34</v>
      </c>
      <c r="I246" s="36">
        <v>41796</v>
      </c>
      <c r="J246" s="37"/>
    </row>
    <row r="247" spans="2:10" ht="29.25" hidden="1" customHeight="1">
      <c r="B247" s="31">
        <v>1</v>
      </c>
      <c r="C247" s="33" t="s">
        <v>244</v>
      </c>
      <c r="D247" s="33"/>
      <c r="E247" s="41">
        <v>41781</v>
      </c>
      <c r="F247" s="36">
        <v>41786</v>
      </c>
      <c r="G247" s="37" t="s">
        <v>26</v>
      </c>
      <c r="H247" s="37" t="s">
        <v>245</v>
      </c>
      <c r="I247" s="36">
        <v>41814</v>
      </c>
      <c r="J247" s="37"/>
    </row>
    <row r="248" spans="2:10" ht="29.25" hidden="1" customHeight="1">
      <c r="B248" s="31">
        <v>1</v>
      </c>
      <c r="C248" s="33" t="s">
        <v>309</v>
      </c>
      <c r="D248" s="33"/>
      <c r="E248" s="41">
        <v>41787</v>
      </c>
      <c r="F248" s="36">
        <v>41803</v>
      </c>
      <c r="G248" s="37" t="s">
        <v>25</v>
      </c>
      <c r="H248" s="37" t="s">
        <v>34</v>
      </c>
      <c r="I248" s="36">
        <v>41814</v>
      </c>
      <c r="J248" s="37"/>
    </row>
    <row r="249" spans="2:10" ht="44.25" hidden="1" customHeight="1">
      <c r="B249" s="31">
        <v>1</v>
      </c>
      <c r="C249" s="33" t="s">
        <v>228</v>
      </c>
      <c r="D249" s="33"/>
      <c r="E249" s="41">
        <v>41787</v>
      </c>
      <c r="F249" s="36">
        <v>41787</v>
      </c>
      <c r="G249" s="37" t="s">
        <v>25</v>
      </c>
      <c r="H249" s="37" t="s">
        <v>34</v>
      </c>
      <c r="I249" s="36">
        <v>41814</v>
      </c>
      <c r="J249" s="37"/>
    </row>
    <row r="250" spans="2:10" ht="29.25" hidden="1" customHeight="1">
      <c r="B250" s="31">
        <v>1</v>
      </c>
      <c r="C250" s="33" t="s">
        <v>279</v>
      </c>
      <c r="D250" s="33"/>
      <c r="E250" s="41">
        <v>41786</v>
      </c>
      <c r="F250" s="36">
        <v>41796</v>
      </c>
      <c r="G250" s="37" t="s">
        <v>24</v>
      </c>
      <c r="H250" s="37" t="s">
        <v>57</v>
      </c>
      <c r="I250" s="36">
        <v>41787</v>
      </c>
      <c r="J250" s="37"/>
    </row>
    <row r="251" spans="2:10" ht="29.25" hidden="1" customHeight="1">
      <c r="B251" s="31">
        <v>1</v>
      </c>
      <c r="C251" s="33" t="s">
        <v>350</v>
      </c>
      <c r="D251" s="33"/>
      <c r="E251" s="41">
        <v>41834</v>
      </c>
      <c r="F251" s="36">
        <v>41836</v>
      </c>
      <c r="G251" s="37" t="s">
        <v>25</v>
      </c>
      <c r="H251" s="37" t="s">
        <v>16</v>
      </c>
      <c r="I251" s="36">
        <v>41838</v>
      </c>
      <c r="J251" s="37"/>
    </row>
    <row r="252" spans="2:10" ht="42" hidden="1" customHeight="1">
      <c r="B252" s="31">
        <v>1</v>
      </c>
      <c r="C252" s="33" t="s">
        <v>276</v>
      </c>
      <c r="D252" s="33"/>
      <c r="E252" s="41">
        <v>41782</v>
      </c>
      <c r="F252" s="36">
        <v>41781</v>
      </c>
      <c r="G252" s="37" t="s">
        <v>26</v>
      </c>
      <c r="H252" s="37" t="s">
        <v>261</v>
      </c>
      <c r="I252" s="36">
        <v>41814</v>
      </c>
      <c r="J252" s="37"/>
    </row>
    <row r="253" spans="2:10" ht="29.25" hidden="1" customHeight="1">
      <c r="B253" s="31">
        <v>1</v>
      </c>
      <c r="C253" s="33" t="s">
        <v>278</v>
      </c>
      <c r="D253" s="33"/>
      <c r="E253" s="41">
        <v>41786</v>
      </c>
      <c r="F253" s="36">
        <v>41789</v>
      </c>
      <c r="G253" s="37" t="s">
        <v>25</v>
      </c>
      <c r="H253" s="37" t="s">
        <v>34</v>
      </c>
      <c r="I253" s="36">
        <v>41787</v>
      </c>
      <c r="J253" s="37"/>
    </row>
    <row r="254" spans="2:10" ht="29.25" hidden="1" customHeight="1">
      <c r="B254" s="31">
        <v>1</v>
      </c>
      <c r="C254" s="33" t="s">
        <v>260</v>
      </c>
      <c r="D254" s="33"/>
      <c r="E254" s="41">
        <v>41782</v>
      </c>
      <c r="F254" s="36">
        <v>41781</v>
      </c>
      <c r="G254" s="37" t="s">
        <v>25</v>
      </c>
      <c r="H254" s="37" t="s">
        <v>261</v>
      </c>
      <c r="I254" s="36">
        <v>41814</v>
      </c>
      <c r="J254" s="37"/>
    </row>
    <row r="255" spans="2:10" ht="29.25" hidden="1" customHeight="1">
      <c r="B255" s="31">
        <v>1</v>
      </c>
      <c r="C255" s="33" t="s">
        <v>321</v>
      </c>
      <c r="D255" s="33"/>
      <c r="E255" s="41">
        <v>41782</v>
      </c>
      <c r="F255" s="36">
        <v>41786</v>
      </c>
      <c r="G255" s="37" t="s">
        <v>25</v>
      </c>
      <c r="H255" s="37" t="s">
        <v>261</v>
      </c>
      <c r="I255" s="36">
        <v>41814</v>
      </c>
      <c r="J255" s="37"/>
    </row>
    <row r="256" spans="2:10" ht="51" hidden="1" customHeight="1">
      <c r="B256" s="31">
        <v>1</v>
      </c>
      <c r="C256" s="33" t="s">
        <v>264</v>
      </c>
      <c r="D256" s="33"/>
      <c r="E256" s="41">
        <v>41782</v>
      </c>
      <c r="F256" s="36">
        <v>41782</v>
      </c>
      <c r="G256" s="37" t="s">
        <v>25</v>
      </c>
      <c r="H256" s="37" t="s">
        <v>261</v>
      </c>
      <c r="I256" s="36">
        <v>41814</v>
      </c>
      <c r="J256" s="37"/>
    </row>
    <row r="257" spans="2:10" ht="29.25" hidden="1" customHeight="1">
      <c r="B257" s="31">
        <v>1</v>
      </c>
      <c r="C257" s="33" t="s">
        <v>266</v>
      </c>
      <c r="D257" s="33"/>
      <c r="E257" s="41">
        <v>41785</v>
      </c>
      <c r="F257" s="36">
        <v>41789</v>
      </c>
      <c r="G257" s="37" t="s">
        <v>25</v>
      </c>
      <c r="H257" s="37" t="s">
        <v>34</v>
      </c>
      <c r="I257" s="36">
        <v>41814</v>
      </c>
      <c r="J257" s="37"/>
    </row>
    <row r="258" spans="2:10" ht="69" hidden="1" customHeight="1">
      <c r="B258" s="31">
        <v>1</v>
      </c>
      <c r="C258" s="33" t="s">
        <v>267</v>
      </c>
      <c r="D258" s="33"/>
      <c r="E258" s="41">
        <v>41786</v>
      </c>
      <c r="F258" s="36">
        <v>41789</v>
      </c>
      <c r="G258" s="37" t="s">
        <v>25</v>
      </c>
      <c r="H258" s="37" t="s">
        <v>235</v>
      </c>
      <c r="I258" s="36">
        <v>41814</v>
      </c>
      <c r="J258" s="37"/>
    </row>
    <row r="259" spans="2:10" ht="29.25" hidden="1" customHeight="1">
      <c r="B259" s="31">
        <v>1</v>
      </c>
      <c r="C259" s="33" t="s">
        <v>270</v>
      </c>
      <c r="D259" s="33"/>
      <c r="E259" s="41">
        <v>41786</v>
      </c>
      <c r="F259" s="36">
        <v>41788</v>
      </c>
      <c r="G259" s="37" t="s">
        <v>25</v>
      </c>
      <c r="H259" s="37" t="s">
        <v>261</v>
      </c>
      <c r="I259" s="36">
        <v>41814</v>
      </c>
      <c r="J259" s="37"/>
    </row>
    <row r="260" spans="2:10" ht="32.25" hidden="1" customHeight="1">
      <c r="B260" s="31">
        <v>1</v>
      </c>
      <c r="C260" s="33" t="s">
        <v>271</v>
      </c>
      <c r="D260" s="33"/>
      <c r="E260" s="41">
        <v>41786</v>
      </c>
      <c r="F260" s="36">
        <v>41788</v>
      </c>
      <c r="G260" s="37" t="s">
        <v>25</v>
      </c>
      <c r="H260" s="37" t="s">
        <v>261</v>
      </c>
      <c r="I260" s="36">
        <v>41814</v>
      </c>
      <c r="J260" s="37"/>
    </row>
    <row r="261" spans="2:10" ht="29.25" hidden="1" customHeight="1">
      <c r="B261" s="31">
        <v>1</v>
      </c>
      <c r="C261" s="33" t="s">
        <v>273</v>
      </c>
      <c r="D261" s="33"/>
      <c r="E261" s="41">
        <v>41787</v>
      </c>
      <c r="F261" s="36">
        <v>41788</v>
      </c>
      <c r="G261" s="37" t="s">
        <v>25</v>
      </c>
      <c r="H261" s="37" t="s">
        <v>261</v>
      </c>
      <c r="I261" s="36">
        <v>41814</v>
      </c>
      <c r="J261" s="37"/>
    </row>
    <row r="262" spans="2:10" ht="45" hidden="1" customHeight="1">
      <c r="B262" s="31">
        <v>1</v>
      </c>
      <c r="C262" s="33" t="s">
        <v>302</v>
      </c>
      <c r="D262" s="33"/>
      <c r="E262" s="41">
        <v>41788</v>
      </c>
      <c r="F262" s="36">
        <v>41802</v>
      </c>
      <c r="G262" s="37" t="s">
        <v>26</v>
      </c>
      <c r="H262" s="37" t="s">
        <v>13</v>
      </c>
      <c r="I262" s="36">
        <v>41814</v>
      </c>
      <c r="J262" s="37"/>
    </row>
    <row r="263" spans="2:10" ht="29.25" hidden="1" customHeight="1">
      <c r="B263" s="31">
        <v>1</v>
      </c>
      <c r="C263" s="33" t="s">
        <v>282</v>
      </c>
      <c r="D263" s="33"/>
      <c r="E263" s="41">
        <v>41788</v>
      </c>
      <c r="F263" s="36">
        <v>41794</v>
      </c>
      <c r="G263" s="37" t="s">
        <v>25</v>
      </c>
      <c r="H263" s="37" t="s">
        <v>261</v>
      </c>
      <c r="I263" s="36">
        <v>41814</v>
      </c>
      <c r="J263" s="37"/>
    </row>
    <row r="264" spans="2:10" ht="46.5" hidden="1" customHeight="1">
      <c r="B264" s="31">
        <v>1</v>
      </c>
      <c r="C264" s="33" t="s">
        <v>277</v>
      </c>
      <c r="D264" s="33"/>
      <c r="E264" s="33"/>
      <c r="F264" s="36"/>
      <c r="G264" s="37"/>
      <c r="H264" s="37"/>
      <c r="I264" s="36">
        <v>41814</v>
      </c>
      <c r="J264" s="37"/>
    </row>
    <row r="265" spans="2:10" ht="42" hidden="1" customHeight="1">
      <c r="B265" s="31">
        <v>1</v>
      </c>
      <c r="C265" s="33" t="s">
        <v>293</v>
      </c>
      <c r="D265" s="33"/>
      <c r="E265" s="41">
        <v>41788</v>
      </c>
      <c r="F265" s="36">
        <v>41810</v>
      </c>
      <c r="G265" s="37" t="s">
        <v>25</v>
      </c>
      <c r="H265" s="37" t="s">
        <v>34</v>
      </c>
      <c r="I265" s="36">
        <v>41814</v>
      </c>
      <c r="J265" s="37"/>
    </row>
    <row r="266" spans="2:10" ht="29.25" hidden="1" customHeight="1">
      <c r="B266" s="31">
        <v>1</v>
      </c>
      <c r="C266" s="33" t="s">
        <v>281</v>
      </c>
      <c r="D266" s="33"/>
      <c r="E266" s="41">
        <v>41788</v>
      </c>
      <c r="F266" s="36">
        <v>41795</v>
      </c>
      <c r="G266" s="37" t="s">
        <v>25</v>
      </c>
      <c r="H266" s="37" t="s">
        <v>261</v>
      </c>
      <c r="I266" s="36">
        <v>41814</v>
      </c>
      <c r="J266" s="37"/>
    </row>
    <row r="267" spans="2:10" ht="29.25" hidden="1" customHeight="1">
      <c r="B267" s="31">
        <v>1</v>
      </c>
      <c r="C267" s="33" t="s">
        <v>299</v>
      </c>
      <c r="D267" s="33"/>
      <c r="E267" s="41">
        <v>41792</v>
      </c>
      <c r="F267" s="36">
        <v>41795</v>
      </c>
      <c r="G267" s="37" t="s">
        <v>25</v>
      </c>
      <c r="H267" s="37" t="s">
        <v>34</v>
      </c>
      <c r="I267" s="36">
        <v>41796</v>
      </c>
      <c r="J267" s="37"/>
    </row>
    <row r="268" spans="2:10" ht="39.75" hidden="1" customHeight="1">
      <c r="B268" s="31">
        <v>1</v>
      </c>
      <c r="C268" s="33" t="s">
        <v>298</v>
      </c>
      <c r="D268" s="33"/>
      <c r="E268" s="41">
        <v>41789</v>
      </c>
      <c r="F268" s="36">
        <v>41801</v>
      </c>
      <c r="G268" s="37" t="s">
        <v>25</v>
      </c>
      <c r="H268" s="37" t="s">
        <v>34</v>
      </c>
      <c r="I268" s="36">
        <v>41814</v>
      </c>
      <c r="J268" s="37"/>
    </row>
    <row r="269" spans="2:10" ht="33" hidden="1" customHeight="1">
      <c r="B269" s="31">
        <v>1</v>
      </c>
      <c r="C269" s="33" t="s">
        <v>297</v>
      </c>
      <c r="D269" s="33"/>
      <c r="E269" s="41">
        <v>41792</v>
      </c>
      <c r="F269" s="36">
        <v>41795</v>
      </c>
      <c r="G269" s="37" t="s">
        <v>25</v>
      </c>
      <c r="H269" s="37" t="s">
        <v>34</v>
      </c>
      <c r="I269" s="36">
        <v>41796</v>
      </c>
      <c r="J269" s="37"/>
    </row>
    <row r="270" spans="2:10" ht="36" hidden="1" customHeight="1">
      <c r="B270" s="31">
        <v>1</v>
      </c>
      <c r="C270" s="33" t="s">
        <v>284</v>
      </c>
      <c r="D270" s="33"/>
      <c r="E270" s="41">
        <v>41793</v>
      </c>
      <c r="F270" s="36">
        <v>41793</v>
      </c>
      <c r="G270" s="37" t="s">
        <v>24</v>
      </c>
      <c r="H270" s="37" t="s">
        <v>110</v>
      </c>
      <c r="I270" s="36">
        <v>41793</v>
      </c>
      <c r="J270" s="37"/>
    </row>
    <row r="271" spans="2:10" ht="41.25" hidden="1" customHeight="1">
      <c r="B271" s="31">
        <v>1</v>
      </c>
      <c r="C271" s="33" t="s">
        <v>283</v>
      </c>
      <c r="D271" s="33"/>
      <c r="E271" s="41">
        <v>41793</v>
      </c>
      <c r="F271" s="36">
        <v>41796</v>
      </c>
      <c r="G271" s="37" t="s">
        <v>25</v>
      </c>
      <c r="H271" s="37" t="s">
        <v>89</v>
      </c>
      <c r="I271" s="36">
        <v>41814</v>
      </c>
      <c r="J271" s="37"/>
    </row>
    <row r="272" spans="2:10" ht="29.25" hidden="1" customHeight="1">
      <c r="B272" s="31">
        <v>1</v>
      </c>
      <c r="C272" s="33" t="s">
        <v>334</v>
      </c>
      <c r="D272" s="33"/>
      <c r="E272" s="41">
        <v>41816</v>
      </c>
      <c r="F272" s="36">
        <v>41817</v>
      </c>
      <c r="G272" s="37" t="s">
        <v>25</v>
      </c>
      <c r="H272" s="37" t="s">
        <v>34</v>
      </c>
      <c r="I272" s="36">
        <v>41820</v>
      </c>
      <c r="J272" s="37"/>
    </row>
    <row r="273" spans="2:10" ht="42" hidden="1" customHeight="1">
      <c r="B273" s="31">
        <v>1</v>
      </c>
      <c r="C273" s="33" t="s">
        <v>288</v>
      </c>
      <c r="D273" s="33"/>
      <c r="E273" s="41">
        <v>41793</v>
      </c>
      <c r="F273" s="36">
        <v>41796</v>
      </c>
      <c r="G273" s="37" t="s">
        <v>24</v>
      </c>
      <c r="H273" s="37" t="s">
        <v>34</v>
      </c>
      <c r="I273" s="36">
        <v>41794</v>
      </c>
      <c r="J273" s="37"/>
    </row>
    <row r="274" spans="2:10" ht="29.25" hidden="1" customHeight="1">
      <c r="B274" s="31">
        <v>1</v>
      </c>
      <c r="C274" s="33" t="s">
        <v>295</v>
      </c>
      <c r="D274" s="33"/>
      <c r="E274" s="41">
        <v>41793</v>
      </c>
      <c r="F274" s="36">
        <v>41796</v>
      </c>
      <c r="G274" s="37" t="s">
        <v>25</v>
      </c>
      <c r="H274" s="37" t="s">
        <v>261</v>
      </c>
      <c r="I274" s="36">
        <v>41814</v>
      </c>
      <c r="J274" s="37"/>
    </row>
    <row r="275" spans="2:10" ht="29.25" hidden="1" customHeight="1">
      <c r="B275" s="31">
        <v>1</v>
      </c>
      <c r="C275" s="33" t="s">
        <v>292</v>
      </c>
      <c r="D275" s="33"/>
      <c r="E275" s="41">
        <v>41795</v>
      </c>
      <c r="F275" s="36">
        <v>41803</v>
      </c>
      <c r="G275" s="37" t="s">
        <v>26</v>
      </c>
      <c r="H275" s="37" t="s">
        <v>89</v>
      </c>
      <c r="I275" s="36">
        <v>41814</v>
      </c>
      <c r="J275" s="37"/>
    </row>
    <row r="276" spans="2:10" ht="29.25" hidden="1" customHeight="1">
      <c r="B276" s="31">
        <v>1</v>
      </c>
      <c r="C276" s="33" t="s">
        <v>296</v>
      </c>
      <c r="D276" s="33"/>
      <c r="E276" s="41">
        <v>41795</v>
      </c>
      <c r="F276" s="36">
        <v>41801</v>
      </c>
      <c r="G276" s="37" t="s">
        <v>25</v>
      </c>
      <c r="H276" s="37" t="s">
        <v>34</v>
      </c>
      <c r="I276" s="36">
        <v>41796</v>
      </c>
      <c r="J276" s="37"/>
    </row>
    <row r="277" spans="2:10" ht="29.25" hidden="1" customHeight="1">
      <c r="B277" s="31">
        <v>1</v>
      </c>
      <c r="C277" s="33" t="s">
        <v>347</v>
      </c>
      <c r="D277" s="33"/>
      <c r="E277" s="41">
        <v>41796</v>
      </c>
      <c r="F277" s="36">
        <v>41801</v>
      </c>
      <c r="G277" s="37" t="s">
        <v>25</v>
      </c>
      <c r="H277" s="37" t="s">
        <v>57</v>
      </c>
      <c r="I277" s="36">
        <v>41833</v>
      </c>
      <c r="J277" s="37"/>
    </row>
    <row r="278" spans="2:10" ht="29.25" hidden="1" customHeight="1">
      <c r="B278" s="31">
        <v>1</v>
      </c>
      <c r="C278" s="33" t="s">
        <v>311</v>
      </c>
      <c r="D278" s="33"/>
      <c r="E278" s="41">
        <v>41806</v>
      </c>
      <c r="F278" s="36">
        <v>41806</v>
      </c>
      <c r="G278" s="37" t="s">
        <v>25</v>
      </c>
      <c r="H278" s="37" t="s">
        <v>34</v>
      </c>
      <c r="I278" s="36">
        <v>41807</v>
      </c>
      <c r="J278" s="37"/>
    </row>
    <row r="279" spans="2:10" ht="29.25" hidden="1" customHeight="1">
      <c r="B279" s="31">
        <v>1</v>
      </c>
      <c r="C279" s="33" t="s">
        <v>351</v>
      </c>
      <c r="D279" s="33"/>
      <c r="E279" s="41">
        <v>41823</v>
      </c>
      <c r="F279" s="36">
        <v>41822</v>
      </c>
      <c r="G279" s="37" t="s">
        <v>24</v>
      </c>
      <c r="H279" s="37" t="s">
        <v>34</v>
      </c>
      <c r="I279" s="36">
        <v>41833</v>
      </c>
      <c r="J279" s="37"/>
    </row>
    <row r="280" spans="2:10" ht="29.25" hidden="1" customHeight="1">
      <c r="B280" s="31">
        <v>1</v>
      </c>
      <c r="C280" s="33" t="s">
        <v>301</v>
      </c>
      <c r="D280" s="33"/>
      <c r="E280" s="41">
        <v>41796</v>
      </c>
      <c r="F280" s="36">
        <v>41799</v>
      </c>
      <c r="G280" s="37" t="s">
        <v>24</v>
      </c>
      <c r="H280" s="37" t="s">
        <v>209</v>
      </c>
      <c r="I280" s="36">
        <v>41814</v>
      </c>
      <c r="J280" s="37"/>
    </row>
    <row r="281" spans="2:10" ht="29.25" hidden="1" customHeight="1">
      <c r="B281" s="31">
        <v>1</v>
      </c>
      <c r="C281" s="33" t="s">
        <v>308</v>
      </c>
      <c r="D281" s="33"/>
      <c r="E281" s="41">
        <v>41800</v>
      </c>
      <c r="F281" s="36">
        <v>41800</v>
      </c>
      <c r="G281" s="37" t="s">
        <v>24</v>
      </c>
      <c r="H281" s="37" t="s">
        <v>34</v>
      </c>
      <c r="I281" s="36">
        <v>41802</v>
      </c>
      <c r="J281" s="37"/>
    </row>
    <row r="282" spans="2:10" ht="29.25" hidden="1" customHeight="1">
      <c r="B282" s="31">
        <v>1</v>
      </c>
      <c r="C282" s="33" t="s">
        <v>304</v>
      </c>
      <c r="D282" s="33"/>
      <c r="E282" s="33"/>
      <c r="F282" s="36"/>
      <c r="G282" s="37"/>
      <c r="H282" s="37"/>
      <c r="I282" s="36">
        <v>41814</v>
      </c>
      <c r="J282" s="37"/>
    </row>
    <row r="283" spans="2:10" ht="29.25" hidden="1" customHeight="1">
      <c r="B283" s="31">
        <v>1</v>
      </c>
      <c r="C283" s="47" t="s">
        <v>374</v>
      </c>
      <c r="D283" s="47"/>
      <c r="E283" s="41">
        <v>41834</v>
      </c>
      <c r="F283" s="36">
        <v>41835</v>
      </c>
      <c r="G283" s="37" t="s">
        <v>25</v>
      </c>
      <c r="H283" s="37" t="s">
        <v>110</v>
      </c>
      <c r="I283" s="36">
        <v>41843</v>
      </c>
      <c r="J283" s="37"/>
    </row>
    <row r="284" spans="2:10" ht="29.25" hidden="1" customHeight="1">
      <c r="B284" s="31">
        <v>1</v>
      </c>
      <c r="C284" s="33" t="s">
        <v>307</v>
      </c>
      <c r="D284" s="33"/>
      <c r="E284" s="41">
        <v>41801</v>
      </c>
      <c r="F284" s="36">
        <v>41802</v>
      </c>
      <c r="G284" s="37" t="s">
        <v>25</v>
      </c>
      <c r="H284" s="37" t="s">
        <v>35</v>
      </c>
      <c r="I284" s="36">
        <v>41814</v>
      </c>
      <c r="J284" s="37"/>
    </row>
    <row r="285" spans="2:10" ht="29.25" hidden="1" customHeight="1">
      <c r="B285" s="31">
        <v>1</v>
      </c>
      <c r="C285" s="33" t="s">
        <v>310</v>
      </c>
      <c r="D285" s="33"/>
      <c r="E285" s="41">
        <v>41801</v>
      </c>
      <c r="F285" s="36">
        <v>41808</v>
      </c>
      <c r="G285" s="37" t="s">
        <v>25</v>
      </c>
      <c r="H285" s="37" t="s">
        <v>34</v>
      </c>
      <c r="I285" s="36">
        <v>41814</v>
      </c>
      <c r="J285" s="37"/>
    </row>
    <row r="286" spans="2:10" ht="35.25" hidden="1" customHeight="1">
      <c r="B286" s="31">
        <v>1</v>
      </c>
      <c r="C286" s="33" t="s">
        <v>316</v>
      </c>
      <c r="D286" s="33"/>
      <c r="E286" s="41">
        <v>41801</v>
      </c>
      <c r="F286" s="36">
        <v>41808</v>
      </c>
      <c r="G286" s="37" t="s">
        <v>25</v>
      </c>
      <c r="H286" s="37" t="s">
        <v>34</v>
      </c>
      <c r="I286" s="36">
        <v>41814</v>
      </c>
      <c r="J286" s="37"/>
    </row>
    <row r="287" spans="2:10" ht="29.25" hidden="1" customHeight="1">
      <c r="B287" s="31">
        <v>1</v>
      </c>
      <c r="C287" s="33" t="s">
        <v>348</v>
      </c>
      <c r="D287" s="33"/>
      <c r="E287" s="41">
        <v>41807</v>
      </c>
      <c r="F287" s="36">
        <v>41822</v>
      </c>
      <c r="G287" s="37" t="s">
        <v>25</v>
      </c>
      <c r="H287" s="37" t="s">
        <v>110</v>
      </c>
      <c r="I287" s="36">
        <v>41833</v>
      </c>
      <c r="J287" s="37"/>
    </row>
    <row r="288" spans="2:10" ht="29.25" hidden="1" customHeight="1">
      <c r="B288" s="31">
        <v>1</v>
      </c>
      <c r="C288" s="33" t="s">
        <v>312</v>
      </c>
      <c r="D288" s="33"/>
      <c r="E288" s="41">
        <v>41807</v>
      </c>
      <c r="F288" s="36">
        <v>41808</v>
      </c>
      <c r="G288" s="37" t="s">
        <v>25</v>
      </c>
      <c r="H288" s="37" t="s">
        <v>34</v>
      </c>
      <c r="I288" s="36">
        <v>41814</v>
      </c>
      <c r="J288" s="37"/>
    </row>
    <row r="289" spans="2:10" ht="35.25" hidden="1" customHeight="1">
      <c r="B289" s="31">
        <v>1</v>
      </c>
      <c r="C289" s="33" t="s">
        <v>322</v>
      </c>
      <c r="D289" s="33"/>
      <c r="E289" s="41">
        <v>41808</v>
      </c>
      <c r="F289" s="36">
        <v>41808</v>
      </c>
      <c r="G289" s="37" t="s">
        <v>24</v>
      </c>
      <c r="H289" s="37" t="s">
        <v>37</v>
      </c>
      <c r="I289" s="36">
        <v>41814</v>
      </c>
      <c r="J289" s="37"/>
    </row>
    <row r="290" spans="2:10" ht="38.25" hidden="1" customHeight="1">
      <c r="B290" s="31">
        <v>1</v>
      </c>
      <c r="C290" s="33" t="s">
        <v>313</v>
      </c>
      <c r="D290" s="33"/>
      <c r="E290" s="41">
        <v>41809</v>
      </c>
      <c r="F290" s="36">
        <v>41809</v>
      </c>
      <c r="G290" s="37" t="s">
        <v>25</v>
      </c>
      <c r="H290" s="37" t="s">
        <v>34</v>
      </c>
      <c r="I290" s="36">
        <v>41813</v>
      </c>
      <c r="J290" s="37"/>
    </row>
    <row r="291" spans="2:10" ht="33" hidden="1" customHeight="1">
      <c r="B291" s="31">
        <v>1</v>
      </c>
      <c r="C291" s="33" t="s">
        <v>315</v>
      </c>
      <c r="D291" s="33"/>
      <c r="E291" s="41">
        <v>41813</v>
      </c>
      <c r="F291" s="36">
        <v>41815</v>
      </c>
      <c r="G291" s="37" t="s">
        <v>25</v>
      </c>
      <c r="H291" s="37" t="s">
        <v>34</v>
      </c>
      <c r="I291" s="36">
        <v>41814</v>
      </c>
      <c r="J291" s="37"/>
    </row>
    <row r="292" spans="2:10" ht="38.25" hidden="1" customHeight="1">
      <c r="B292" s="31">
        <v>1</v>
      </c>
      <c r="C292" s="33" t="s">
        <v>355</v>
      </c>
      <c r="D292" s="33"/>
      <c r="E292" s="41">
        <v>41816</v>
      </c>
      <c r="F292" s="36">
        <v>41816</v>
      </c>
      <c r="G292" s="37" t="s">
        <v>24</v>
      </c>
      <c r="H292" s="37" t="s">
        <v>34</v>
      </c>
      <c r="I292" s="36">
        <v>41833</v>
      </c>
      <c r="J292" s="37"/>
    </row>
    <row r="293" spans="2:10" ht="72.75" hidden="1" customHeight="1">
      <c r="B293" s="31">
        <v>1</v>
      </c>
      <c r="C293" s="33" t="s">
        <v>352</v>
      </c>
      <c r="D293" s="33"/>
      <c r="E293" s="41">
        <v>41820</v>
      </c>
      <c r="F293" s="36">
        <v>41817</v>
      </c>
      <c r="G293" s="37" t="s">
        <v>25</v>
      </c>
      <c r="H293" s="37" t="s">
        <v>34</v>
      </c>
      <c r="I293" s="36">
        <v>41833</v>
      </c>
      <c r="J293" s="37"/>
    </row>
    <row r="294" spans="2:10" ht="40.5" hidden="1" customHeight="1">
      <c r="B294" s="31">
        <v>1</v>
      </c>
      <c r="C294" s="33" t="s">
        <v>349</v>
      </c>
      <c r="D294" s="33"/>
      <c r="E294" s="41">
        <v>41815</v>
      </c>
      <c r="F294" s="36">
        <v>41817</v>
      </c>
      <c r="G294" s="37" t="s">
        <v>25</v>
      </c>
      <c r="H294" s="37" t="s">
        <v>37</v>
      </c>
      <c r="I294" s="36">
        <v>41833</v>
      </c>
      <c r="J294" s="37"/>
    </row>
    <row r="295" spans="2:10" ht="61.5" hidden="1" customHeight="1">
      <c r="B295" s="31">
        <v>1</v>
      </c>
      <c r="C295" s="33" t="s">
        <v>324</v>
      </c>
      <c r="D295" s="33"/>
      <c r="E295" s="41">
        <v>41815</v>
      </c>
      <c r="F295" s="36">
        <v>41817</v>
      </c>
      <c r="G295" s="37" t="s">
        <v>24</v>
      </c>
      <c r="H295" s="37" t="s">
        <v>34</v>
      </c>
      <c r="I295" s="36">
        <v>41815</v>
      </c>
      <c r="J295" s="37"/>
    </row>
    <row r="296" spans="2:10" ht="29.25" hidden="1" customHeight="1">
      <c r="B296" s="31">
        <v>1</v>
      </c>
      <c r="C296" s="33" t="s">
        <v>325</v>
      </c>
      <c r="D296" s="33"/>
      <c r="E296" s="41">
        <v>41816</v>
      </c>
      <c r="F296" s="36">
        <v>41817</v>
      </c>
      <c r="G296" s="37" t="s">
        <v>25</v>
      </c>
      <c r="H296" s="37" t="s">
        <v>160</v>
      </c>
      <c r="I296" s="36">
        <v>41833</v>
      </c>
      <c r="J296" s="37"/>
    </row>
    <row r="297" spans="2:10" ht="29.25" hidden="1" customHeight="1">
      <c r="B297" s="31">
        <v>1</v>
      </c>
      <c r="C297" s="33" t="s">
        <v>323</v>
      </c>
      <c r="D297" s="33"/>
      <c r="E297" s="41">
        <v>41815</v>
      </c>
      <c r="F297" s="36">
        <v>41815</v>
      </c>
      <c r="G297" s="37" t="s">
        <v>24</v>
      </c>
      <c r="H297" s="37" t="s">
        <v>89</v>
      </c>
      <c r="I297" s="36">
        <v>41833</v>
      </c>
      <c r="J297" s="37"/>
    </row>
    <row r="298" spans="2:10" ht="29.25" hidden="1" customHeight="1">
      <c r="B298" s="31">
        <v>1</v>
      </c>
      <c r="C298" s="33" t="s">
        <v>326</v>
      </c>
      <c r="D298" s="33"/>
      <c r="E298" s="41">
        <v>41820</v>
      </c>
      <c r="F298" s="36">
        <v>41823</v>
      </c>
      <c r="G298" s="37" t="s">
        <v>25</v>
      </c>
      <c r="H298" s="37" t="s">
        <v>327</v>
      </c>
      <c r="I298" s="36">
        <v>41833</v>
      </c>
      <c r="J298" s="37"/>
    </row>
    <row r="299" spans="2:10" ht="29.25" hidden="1" customHeight="1">
      <c r="B299" s="31">
        <v>1</v>
      </c>
      <c r="C299" s="33" t="s">
        <v>328</v>
      </c>
      <c r="D299" s="33"/>
      <c r="E299" s="41">
        <v>41824</v>
      </c>
      <c r="F299" s="36">
        <v>41824</v>
      </c>
      <c r="G299" s="37" t="s">
        <v>26</v>
      </c>
      <c r="H299" s="37" t="s">
        <v>327</v>
      </c>
      <c r="I299" s="36">
        <v>41833</v>
      </c>
      <c r="J299" s="37"/>
    </row>
    <row r="300" spans="2:10" ht="29.25" hidden="1" customHeight="1">
      <c r="B300" s="31">
        <v>1</v>
      </c>
      <c r="C300" s="33" t="s">
        <v>329</v>
      </c>
      <c r="D300" s="33"/>
      <c r="E300" s="41">
        <v>41817</v>
      </c>
      <c r="F300" s="36">
        <v>41821</v>
      </c>
      <c r="G300" s="37" t="s">
        <v>24</v>
      </c>
      <c r="H300" s="37" t="s">
        <v>327</v>
      </c>
      <c r="I300" s="36">
        <v>41833</v>
      </c>
      <c r="J300" s="37"/>
    </row>
    <row r="301" spans="2:10" ht="29.25" hidden="1" customHeight="1">
      <c r="B301" s="31">
        <v>1</v>
      </c>
      <c r="C301" s="33" t="s">
        <v>330</v>
      </c>
      <c r="D301" s="33"/>
      <c r="E301" s="41">
        <v>41817</v>
      </c>
      <c r="F301" s="36">
        <v>41821</v>
      </c>
      <c r="G301" s="37" t="s">
        <v>24</v>
      </c>
      <c r="H301" s="37" t="s">
        <v>327</v>
      </c>
      <c r="I301" s="36">
        <v>41833</v>
      </c>
      <c r="J301" s="37"/>
    </row>
    <row r="302" spans="2:10" ht="29.25" hidden="1" customHeight="1">
      <c r="B302" s="31">
        <v>1</v>
      </c>
      <c r="C302" s="33" t="s">
        <v>335</v>
      </c>
      <c r="D302" s="33"/>
      <c r="E302" s="41">
        <v>41820</v>
      </c>
      <c r="F302" s="36">
        <v>41821</v>
      </c>
      <c r="G302" s="37" t="s">
        <v>24</v>
      </c>
      <c r="H302" s="37" t="s">
        <v>34</v>
      </c>
      <c r="I302" s="36">
        <v>41820</v>
      </c>
      <c r="J302" s="37"/>
    </row>
    <row r="303" spans="2:10" ht="29.25" hidden="1" customHeight="1">
      <c r="B303" s="31">
        <v>1</v>
      </c>
      <c r="C303" s="33" t="s">
        <v>331</v>
      </c>
      <c r="D303" s="33"/>
      <c r="E303" s="41">
        <v>41820</v>
      </c>
      <c r="F303" s="36">
        <v>41822</v>
      </c>
      <c r="G303" s="37" t="s">
        <v>26</v>
      </c>
      <c r="H303" s="37" t="s">
        <v>146</v>
      </c>
      <c r="I303" s="36">
        <v>41833</v>
      </c>
      <c r="J303" s="37"/>
    </row>
    <row r="304" spans="2:10" ht="29.25" hidden="1" customHeight="1">
      <c r="B304" s="31">
        <v>1</v>
      </c>
      <c r="C304" s="33" t="s">
        <v>314</v>
      </c>
      <c r="D304" s="33"/>
      <c r="E304" s="41">
        <v>41824</v>
      </c>
      <c r="F304" s="36">
        <v>41824</v>
      </c>
      <c r="G304" s="37" t="s">
        <v>25</v>
      </c>
      <c r="H304" s="37" t="s">
        <v>209</v>
      </c>
      <c r="I304" s="36">
        <v>41838</v>
      </c>
      <c r="J304" s="37"/>
    </row>
    <row r="305" spans="2:10" ht="29.25" hidden="1" customHeight="1">
      <c r="B305" s="31">
        <v>1</v>
      </c>
      <c r="C305" s="33" t="s">
        <v>353</v>
      </c>
      <c r="D305" s="33"/>
      <c r="E305" s="41">
        <v>41822</v>
      </c>
      <c r="F305" s="36">
        <v>41823</v>
      </c>
      <c r="G305" s="37" t="s">
        <v>25</v>
      </c>
      <c r="H305" s="37" t="s">
        <v>34</v>
      </c>
      <c r="I305" s="36">
        <v>41833</v>
      </c>
      <c r="J305" s="37"/>
    </row>
    <row r="306" spans="2:10" ht="29.25" hidden="1" customHeight="1">
      <c r="B306" s="31">
        <v>1</v>
      </c>
      <c r="C306" s="33" t="s">
        <v>336</v>
      </c>
      <c r="D306" s="33"/>
      <c r="E306" s="41">
        <v>41822</v>
      </c>
      <c r="F306" s="36">
        <v>41824</v>
      </c>
      <c r="G306" s="37" t="s">
        <v>24</v>
      </c>
      <c r="H306" s="37" t="s">
        <v>80</v>
      </c>
      <c r="I306" s="36">
        <v>41838</v>
      </c>
      <c r="J306" s="37"/>
    </row>
    <row r="307" spans="2:10" ht="29.25" hidden="1" customHeight="1">
      <c r="B307" s="31">
        <v>1</v>
      </c>
      <c r="C307" s="33" t="s">
        <v>358</v>
      </c>
      <c r="D307" s="33"/>
      <c r="E307" s="41">
        <v>41828</v>
      </c>
      <c r="F307" s="36">
        <v>41845</v>
      </c>
      <c r="G307" s="37" t="s">
        <v>25</v>
      </c>
      <c r="H307" s="37" t="s">
        <v>34</v>
      </c>
      <c r="I307" s="36">
        <v>41834</v>
      </c>
      <c r="J307" s="37"/>
    </row>
    <row r="308" spans="2:10" ht="61.5" hidden="1" customHeight="1">
      <c r="B308" s="31">
        <v>1</v>
      </c>
      <c r="C308" s="33" t="s">
        <v>399</v>
      </c>
      <c r="D308" s="33"/>
      <c r="E308" s="41">
        <v>41852</v>
      </c>
      <c r="F308" s="36">
        <v>41855</v>
      </c>
      <c r="G308" s="37" t="s">
        <v>24</v>
      </c>
      <c r="H308" s="37" t="s">
        <v>34</v>
      </c>
      <c r="I308" s="36">
        <v>41856</v>
      </c>
      <c r="J308" s="37"/>
    </row>
    <row r="309" spans="2:10" ht="29.25" hidden="1" customHeight="1">
      <c r="B309" s="31">
        <v>1</v>
      </c>
      <c r="C309" s="47" t="s">
        <v>480</v>
      </c>
      <c r="D309" s="41">
        <v>41905</v>
      </c>
      <c r="E309" s="41">
        <v>41925</v>
      </c>
      <c r="F309" s="36">
        <v>41934</v>
      </c>
      <c r="G309" s="37" t="s">
        <v>28</v>
      </c>
      <c r="H309" s="37" t="s">
        <v>356</v>
      </c>
      <c r="I309" s="36">
        <v>41992</v>
      </c>
      <c r="J309" s="37"/>
    </row>
    <row r="310" spans="2:10" ht="57" hidden="1" customHeight="1">
      <c r="B310" s="31">
        <v>1</v>
      </c>
      <c r="C310" s="33" t="s">
        <v>367</v>
      </c>
      <c r="D310" s="33"/>
      <c r="E310" s="41">
        <v>41828</v>
      </c>
      <c r="F310" s="36">
        <v>41831</v>
      </c>
      <c r="G310" s="37" t="s">
        <v>24</v>
      </c>
      <c r="H310" s="37" t="s">
        <v>16</v>
      </c>
      <c r="I310" s="36">
        <v>41838</v>
      </c>
      <c r="J310" s="37"/>
    </row>
    <row r="311" spans="2:10" ht="29.25" hidden="1" customHeight="1">
      <c r="B311" s="31">
        <v>1</v>
      </c>
      <c r="C311" s="33" t="s">
        <v>337</v>
      </c>
      <c r="D311" s="33"/>
      <c r="E311" s="41">
        <v>41829</v>
      </c>
      <c r="F311" s="36">
        <v>41831</v>
      </c>
      <c r="G311" s="37" t="s">
        <v>24</v>
      </c>
      <c r="H311" s="37" t="s">
        <v>64</v>
      </c>
      <c r="I311" s="36">
        <v>41859</v>
      </c>
      <c r="J311" s="37"/>
    </row>
    <row r="312" spans="2:10" ht="41.25" hidden="1" customHeight="1">
      <c r="B312" s="31">
        <v>1</v>
      </c>
      <c r="C312" s="33" t="s">
        <v>361</v>
      </c>
      <c r="D312" s="33"/>
      <c r="E312" s="41">
        <v>41841</v>
      </c>
      <c r="F312" s="36">
        <v>41841</v>
      </c>
      <c r="G312" s="37" t="s">
        <v>24</v>
      </c>
      <c r="H312" s="37" t="s">
        <v>35</v>
      </c>
      <c r="I312" s="36">
        <v>41859</v>
      </c>
      <c r="J312" s="37"/>
    </row>
    <row r="313" spans="2:10" ht="35.25" hidden="1" customHeight="1">
      <c r="B313" s="31">
        <v>1</v>
      </c>
      <c r="C313" s="33" t="s">
        <v>339</v>
      </c>
      <c r="D313" s="33"/>
      <c r="E313" s="41">
        <v>41830</v>
      </c>
      <c r="F313" s="36">
        <v>41835</v>
      </c>
      <c r="G313" s="37" t="s">
        <v>24</v>
      </c>
      <c r="H313" s="37" t="s">
        <v>34</v>
      </c>
      <c r="I313" s="36">
        <v>41833</v>
      </c>
      <c r="J313" s="37"/>
    </row>
    <row r="314" spans="2:10" ht="39" hidden="1" customHeight="1">
      <c r="B314" s="31">
        <v>1</v>
      </c>
      <c r="C314" s="33" t="s">
        <v>384</v>
      </c>
      <c r="D314" s="33"/>
      <c r="E314" s="41">
        <v>41841</v>
      </c>
      <c r="F314" s="36">
        <v>41841</v>
      </c>
      <c r="G314" s="37" t="s">
        <v>24</v>
      </c>
      <c r="H314" s="37" t="s">
        <v>34</v>
      </c>
      <c r="I314" s="36">
        <v>41848</v>
      </c>
      <c r="J314" s="37"/>
    </row>
    <row r="315" spans="2:10" ht="45.75" hidden="1" customHeight="1">
      <c r="B315" s="31">
        <v>1</v>
      </c>
      <c r="C315" s="33" t="s">
        <v>338</v>
      </c>
      <c r="D315" s="33"/>
      <c r="E315" s="41">
        <v>41830</v>
      </c>
      <c r="F315" s="36">
        <v>41831</v>
      </c>
      <c r="G315" s="37" t="s">
        <v>25</v>
      </c>
      <c r="H315" s="37" t="s">
        <v>146</v>
      </c>
      <c r="I315" s="36">
        <v>41830</v>
      </c>
      <c r="J315" s="37"/>
    </row>
    <row r="316" spans="2:10" ht="29.25" hidden="1" customHeight="1">
      <c r="B316" s="31">
        <v>1</v>
      </c>
      <c r="C316" s="33" t="s">
        <v>456</v>
      </c>
      <c r="D316" s="33"/>
      <c r="E316" s="41">
        <v>41927</v>
      </c>
      <c r="F316" s="41">
        <v>41927</v>
      </c>
      <c r="G316" s="37" t="s">
        <v>25</v>
      </c>
      <c r="H316" s="37" t="s">
        <v>34</v>
      </c>
      <c r="I316" s="36">
        <v>41926</v>
      </c>
      <c r="J316" s="37"/>
    </row>
    <row r="317" spans="2:10" ht="29.25" hidden="1" customHeight="1">
      <c r="B317" s="31">
        <v>1</v>
      </c>
      <c r="C317" s="33" t="s">
        <v>377</v>
      </c>
      <c r="D317" s="33"/>
      <c r="E317" s="41">
        <v>41873</v>
      </c>
      <c r="F317" s="41">
        <v>41873</v>
      </c>
      <c r="G317" s="37" t="s">
        <v>24</v>
      </c>
      <c r="H317" s="37" t="s">
        <v>34</v>
      </c>
      <c r="I317" s="36">
        <v>41878</v>
      </c>
      <c r="J317" s="37"/>
    </row>
    <row r="318" spans="2:10" ht="29.25" hidden="1" customHeight="1">
      <c r="B318" s="31">
        <v>1</v>
      </c>
      <c r="C318" s="33" t="s">
        <v>490</v>
      </c>
      <c r="D318" s="41">
        <v>41934</v>
      </c>
      <c r="E318" s="41">
        <v>41940</v>
      </c>
      <c r="F318" s="36">
        <v>42278</v>
      </c>
      <c r="G318" s="37" t="s">
        <v>28</v>
      </c>
      <c r="H318" s="37" t="s">
        <v>34</v>
      </c>
      <c r="I318" s="36">
        <v>41940</v>
      </c>
      <c r="J318" s="37"/>
    </row>
    <row r="319" spans="2:10" ht="29.25" hidden="1" customHeight="1">
      <c r="B319" s="31">
        <v>1</v>
      </c>
      <c r="C319" s="33" t="s">
        <v>341</v>
      </c>
      <c r="D319" s="33"/>
      <c r="E319" s="41">
        <v>41831</v>
      </c>
      <c r="F319" s="36">
        <v>41831</v>
      </c>
      <c r="G319" s="37" t="s">
        <v>24</v>
      </c>
      <c r="H319" s="37" t="s">
        <v>34</v>
      </c>
      <c r="I319" s="36">
        <v>41831</v>
      </c>
      <c r="J319" s="37"/>
    </row>
    <row r="320" spans="2:10" ht="38.25" hidden="1" customHeight="1">
      <c r="B320" s="31">
        <v>1</v>
      </c>
      <c r="C320" s="33" t="s">
        <v>340</v>
      </c>
      <c r="D320" s="33"/>
      <c r="E320" s="41">
        <v>41834</v>
      </c>
      <c r="F320" s="36">
        <v>41831</v>
      </c>
      <c r="G320" s="37" t="s">
        <v>24</v>
      </c>
      <c r="H320" s="37" t="s">
        <v>34</v>
      </c>
      <c r="I320" s="36">
        <v>41833</v>
      </c>
      <c r="J320" s="37"/>
    </row>
    <row r="321" spans="2:10" ht="29.25" hidden="1" customHeight="1">
      <c r="B321" s="31">
        <v>1</v>
      </c>
      <c r="C321" s="33" t="s">
        <v>368</v>
      </c>
      <c r="D321" s="33"/>
      <c r="E321" s="41">
        <v>41834</v>
      </c>
      <c r="F321" s="36">
        <v>41834</v>
      </c>
      <c r="G321" s="37" t="s">
        <v>25</v>
      </c>
      <c r="H321" s="37" t="s">
        <v>89</v>
      </c>
      <c r="I321" s="36">
        <v>41838</v>
      </c>
      <c r="J321" s="37"/>
    </row>
    <row r="322" spans="2:10" ht="46.5" hidden="1" customHeight="1">
      <c r="B322" s="31">
        <v>1</v>
      </c>
      <c r="C322" s="33" t="s">
        <v>369</v>
      </c>
      <c r="D322" s="33"/>
      <c r="E322" s="41">
        <v>41834</v>
      </c>
      <c r="F322" s="36">
        <v>41836</v>
      </c>
      <c r="G322" s="37" t="s">
        <v>25</v>
      </c>
      <c r="H322" s="37" t="s">
        <v>356</v>
      </c>
      <c r="I322" s="36">
        <v>41838</v>
      </c>
      <c r="J322" s="37"/>
    </row>
    <row r="323" spans="2:10" ht="44.25" hidden="1" customHeight="1">
      <c r="B323" s="31">
        <v>1</v>
      </c>
      <c r="C323" s="33" t="s">
        <v>357</v>
      </c>
      <c r="D323" s="33"/>
      <c r="E323" s="41">
        <v>41834</v>
      </c>
      <c r="F323" s="36">
        <v>41836</v>
      </c>
      <c r="G323" s="37" t="s">
        <v>25</v>
      </c>
      <c r="H323" s="37" t="s">
        <v>34</v>
      </c>
      <c r="I323" s="36">
        <v>41834</v>
      </c>
      <c r="J323" s="37"/>
    </row>
    <row r="324" spans="2:10" ht="47.25" hidden="1" customHeight="1">
      <c r="B324" s="31">
        <v>1</v>
      </c>
      <c r="C324" s="33" t="s">
        <v>383</v>
      </c>
      <c r="D324" s="33"/>
      <c r="E324" s="41">
        <v>41843</v>
      </c>
      <c r="F324" s="36">
        <v>41845</v>
      </c>
      <c r="G324" s="37" t="s">
        <v>25</v>
      </c>
      <c r="H324" s="37" t="s">
        <v>110</v>
      </c>
      <c r="I324" s="36">
        <v>41892</v>
      </c>
      <c r="J324" s="37"/>
    </row>
    <row r="325" spans="2:10" ht="38.25" hidden="1" customHeight="1">
      <c r="B325" s="31">
        <v>1</v>
      </c>
      <c r="C325" s="33" t="s">
        <v>359</v>
      </c>
      <c r="D325" s="33"/>
      <c r="E325" s="41">
        <v>41834</v>
      </c>
      <c r="F325" s="36">
        <v>41835</v>
      </c>
      <c r="G325" s="37" t="s">
        <v>24</v>
      </c>
      <c r="H325" s="37" t="s">
        <v>34</v>
      </c>
      <c r="I325" s="36">
        <v>41835</v>
      </c>
      <c r="J325" s="37"/>
    </row>
    <row r="326" spans="2:10" ht="29.25" hidden="1" customHeight="1">
      <c r="B326" s="31">
        <v>1</v>
      </c>
      <c r="C326" s="33" t="s">
        <v>360</v>
      </c>
      <c r="D326" s="33"/>
      <c r="E326" s="41">
        <v>41835</v>
      </c>
      <c r="F326" s="36">
        <v>41838</v>
      </c>
      <c r="G326" s="37" t="s">
        <v>25</v>
      </c>
      <c r="H326" s="37" t="s">
        <v>34</v>
      </c>
      <c r="I326" s="36">
        <v>41835</v>
      </c>
      <c r="J326" s="37"/>
    </row>
    <row r="327" spans="2:10" ht="29.25" hidden="1" customHeight="1">
      <c r="B327" s="31">
        <v>1</v>
      </c>
      <c r="C327" s="33" t="s">
        <v>376</v>
      </c>
      <c r="D327" s="33"/>
      <c r="E327" s="41">
        <v>41842</v>
      </c>
      <c r="F327" s="36">
        <v>41843</v>
      </c>
      <c r="G327" s="37" t="s">
        <v>25</v>
      </c>
      <c r="H327" s="37" t="s">
        <v>34</v>
      </c>
      <c r="I327" s="36">
        <v>41843</v>
      </c>
      <c r="J327" s="37"/>
    </row>
    <row r="328" spans="2:10" ht="29.25" hidden="1" customHeight="1">
      <c r="B328" s="31">
        <v>1</v>
      </c>
      <c r="C328" s="33" t="s">
        <v>363</v>
      </c>
      <c r="D328" s="33"/>
      <c r="E328" s="41">
        <v>41835</v>
      </c>
      <c r="F328" s="36">
        <v>41837</v>
      </c>
      <c r="G328" s="37" t="s">
        <v>25</v>
      </c>
      <c r="H328" s="37" t="s">
        <v>34</v>
      </c>
      <c r="I328" s="36">
        <v>41837</v>
      </c>
      <c r="J328" s="37"/>
    </row>
    <row r="329" spans="2:10" ht="29.25" hidden="1" customHeight="1">
      <c r="B329" s="31">
        <v>1</v>
      </c>
      <c r="C329" s="33" t="s">
        <v>362</v>
      </c>
      <c r="D329" s="33"/>
      <c r="E329" s="41">
        <v>41836</v>
      </c>
      <c r="F329" s="36">
        <v>41837</v>
      </c>
      <c r="G329" s="37" t="s">
        <v>26</v>
      </c>
      <c r="H329" s="37" t="s">
        <v>34</v>
      </c>
      <c r="I329" s="36">
        <v>41837</v>
      </c>
      <c r="J329" s="37"/>
    </row>
    <row r="330" spans="2:10" ht="42" hidden="1" customHeight="1">
      <c r="B330" s="31">
        <v>1</v>
      </c>
      <c r="C330" s="33" t="s">
        <v>372</v>
      </c>
      <c r="D330" s="33"/>
      <c r="E330" s="41">
        <v>41838</v>
      </c>
      <c r="F330" s="36">
        <v>41842</v>
      </c>
      <c r="G330" s="37" t="s">
        <v>25</v>
      </c>
      <c r="H330" s="37" t="s">
        <v>34</v>
      </c>
      <c r="I330" s="36">
        <v>41841</v>
      </c>
      <c r="J330" s="37"/>
    </row>
    <row r="331" spans="2:10" ht="47.25" hidden="1" customHeight="1">
      <c r="B331" s="31">
        <v>1</v>
      </c>
      <c r="C331" s="33" t="s">
        <v>386</v>
      </c>
      <c r="D331" s="33"/>
      <c r="E331" s="41">
        <v>41843</v>
      </c>
      <c r="F331" s="36">
        <v>41842</v>
      </c>
      <c r="G331" s="37" t="s">
        <v>25</v>
      </c>
      <c r="H331" s="37" t="s">
        <v>34</v>
      </c>
      <c r="I331" s="36">
        <v>41848</v>
      </c>
      <c r="J331" s="37"/>
    </row>
    <row r="332" spans="2:10" ht="45" hidden="1" customHeight="1">
      <c r="B332" s="31">
        <v>1</v>
      </c>
      <c r="C332" s="33" t="s">
        <v>375</v>
      </c>
      <c r="D332" s="33"/>
      <c r="E332" s="41">
        <v>41843</v>
      </c>
      <c r="F332" s="36">
        <v>41843</v>
      </c>
      <c r="G332" s="37" t="s">
        <v>25</v>
      </c>
      <c r="H332" s="37" t="s">
        <v>146</v>
      </c>
      <c r="I332" s="36">
        <v>41859</v>
      </c>
      <c r="J332" s="37"/>
    </row>
    <row r="333" spans="2:10" ht="47.25" hidden="1" customHeight="1">
      <c r="B333" s="31">
        <v>1</v>
      </c>
      <c r="C333" s="33" t="s">
        <v>387</v>
      </c>
      <c r="D333" s="33"/>
      <c r="E333" s="41">
        <v>41844</v>
      </c>
      <c r="F333" s="36">
        <v>41843</v>
      </c>
      <c r="G333" s="37" t="s">
        <v>25</v>
      </c>
      <c r="H333" s="37" t="s">
        <v>34</v>
      </c>
      <c r="I333" s="36">
        <v>41848</v>
      </c>
      <c r="J333" s="37"/>
    </row>
    <row r="334" spans="2:10" ht="86.25" hidden="1" customHeight="1">
      <c r="B334" s="31">
        <v>1</v>
      </c>
      <c r="C334" s="33" t="s">
        <v>370</v>
      </c>
      <c r="D334" s="33"/>
      <c r="E334" s="41">
        <v>41842</v>
      </c>
      <c r="F334" s="36">
        <v>41845</v>
      </c>
      <c r="G334" s="37" t="s">
        <v>25</v>
      </c>
      <c r="H334" s="37" t="s">
        <v>88</v>
      </c>
      <c r="I334" s="36">
        <v>41838</v>
      </c>
      <c r="J334" s="37"/>
    </row>
    <row r="335" spans="2:10" ht="29.25" hidden="1" customHeight="1">
      <c r="B335" s="31">
        <v>1</v>
      </c>
      <c r="C335" s="33" t="s">
        <v>427</v>
      </c>
      <c r="D335" s="33"/>
      <c r="E335" s="41">
        <v>41866</v>
      </c>
      <c r="F335" s="36">
        <v>41882</v>
      </c>
      <c r="G335" s="37" t="s">
        <v>25</v>
      </c>
      <c r="H335" s="37" t="s">
        <v>110</v>
      </c>
      <c r="I335" s="36">
        <v>41892</v>
      </c>
      <c r="J335" s="37"/>
    </row>
    <row r="336" spans="2:10" ht="43.5" hidden="1" customHeight="1">
      <c r="B336" s="31">
        <v>1</v>
      </c>
      <c r="C336" s="33" t="s">
        <v>366</v>
      </c>
      <c r="D336" s="33"/>
      <c r="E336" s="41">
        <v>41843</v>
      </c>
      <c r="F336" s="36">
        <v>41843</v>
      </c>
      <c r="G336" s="37" t="s">
        <v>25</v>
      </c>
      <c r="H336" s="37" t="s">
        <v>34</v>
      </c>
      <c r="I336" s="36">
        <v>41845</v>
      </c>
      <c r="J336" s="37"/>
    </row>
    <row r="337" spans="2:10" ht="29.25" hidden="1" customHeight="1">
      <c r="B337" s="31">
        <v>1</v>
      </c>
      <c r="C337" s="33" t="s">
        <v>389</v>
      </c>
      <c r="D337" s="33"/>
      <c r="E337" s="41">
        <v>41848</v>
      </c>
      <c r="F337" s="36">
        <v>41848</v>
      </c>
      <c r="G337" s="37" t="s">
        <v>24</v>
      </c>
      <c r="H337" s="37" t="s">
        <v>34</v>
      </c>
      <c r="I337" s="36">
        <v>41849</v>
      </c>
      <c r="J337" s="37"/>
    </row>
    <row r="338" spans="2:10" ht="42" hidden="1" customHeight="1">
      <c r="B338" s="31">
        <v>1</v>
      </c>
      <c r="C338" s="47" t="s">
        <v>396</v>
      </c>
      <c r="D338" s="47"/>
      <c r="E338" s="41">
        <v>41873</v>
      </c>
      <c r="F338" s="36">
        <v>41873</v>
      </c>
      <c r="G338" s="37" t="s">
        <v>25</v>
      </c>
      <c r="H338" s="37" t="s">
        <v>34</v>
      </c>
      <c r="I338" s="36">
        <v>41855</v>
      </c>
      <c r="J338" s="37"/>
    </row>
    <row r="339" spans="2:10" ht="43.5" hidden="1" customHeight="1">
      <c r="B339" s="31">
        <v>1</v>
      </c>
      <c r="C339" s="33" t="s">
        <v>364</v>
      </c>
      <c r="D339" s="33"/>
      <c r="E339" s="41">
        <v>41840</v>
      </c>
      <c r="F339" s="36">
        <v>41840</v>
      </c>
      <c r="G339" s="37" t="s">
        <v>25</v>
      </c>
      <c r="H339" s="37" t="s">
        <v>209</v>
      </c>
      <c r="I339" s="36">
        <v>41892</v>
      </c>
      <c r="J339" s="37"/>
    </row>
    <row r="340" spans="2:10" ht="84.75" hidden="1" customHeight="1">
      <c r="B340" s="31">
        <v>1</v>
      </c>
      <c r="C340" s="33" t="s">
        <v>365</v>
      </c>
      <c r="D340" s="33"/>
      <c r="E340" s="41">
        <v>41838</v>
      </c>
      <c r="F340" s="36">
        <v>41838</v>
      </c>
      <c r="G340" s="37" t="s">
        <v>25</v>
      </c>
      <c r="H340" s="37" t="s">
        <v>209</v>
      </c>
      <c r="I340" s="36">
        <v>41859</v>
      </c>
      <c r="J340" s="37"/>
    </row>
    <row r="341" spans="2:10" ht="29.25" hidden="1" customHeight="1">
      <c r="B341" s="31">
        <v>1</v>
      </c>
      <c r="C341" s="33" t="s">
        <v>373</v>
      </c>
      <c r="D341" s="33"/>
      <c r="E341" s="41">
        <v>41842</v>
      </c>
      <c r="F341" s="36">
        <v>41843</v>
      </c>
      <c r="G341" s="37" t="s">
        <v>25</v>
      </c>
      <c r="H341" s="37" t="s">
        <v>34</v>
      </c>
      <c r="I341" s="36">
        <v>41843</v>
      </c>
      <c r="J341" s="37"/>
    </row>
    <row r="342" spans="2:10" ht="45.75" hidden="1" customHeight="1">
      <c r="B342" s="31">
        <v>1</v>
      </c>
      <c r="C342" s="33" t="s">
        <v>428</v>
      </c>
      <c r="D342" s="33"/>
      <c r="E342" s="41">
        <v>41862</v>
      </c>
      <c r="F342" s="36">
        <v>41864</v>
      </c>
      <c r="G342" s="37" t="s">
        <v>25</v>
      </c>
      <c r="H342" s="37" t="s">
        <v>37</v>
      </c>
      <c r="I342" s="36">
        <v>41892</v>
      </c>
      <c r="J342" s="37"/>
    </row>
    <row r="343" spans="2:10" ht="38.25" hidden="1" customHeight="1">
      <c r="B343" s="31">
        <v>1</v>
      </c>
      <c r="C343" s="33" t="s">
        <v>402</v>
      </c>
      <c r="D343" s="33"/>
      <c r="E343" s="41">
        <v>41850</v>
      </c>
      <c r="F343" s="36">
        <v>41850</v>
      </c>
      <c r="G343" s="37" t="s">
        <v>24</v>
      </c>
      <c r="H343" s="37" t="s">
        <v>34</v>
      </c>
      <c r="I343" s="36">
        <v>41864</v>
      </c>
      <c r="J343" s="37"/>
    </row>
    <row r="344" spans="2:10" ht="45" hidden="1" customHeight="1">
      <c r="B344" s="31">
        <v>1</v>
      </c>
      <c r="C344" s="33" t="s">
        <v>371</v>
      </c>
      <c r="D344" s="33"/>
      <c r="E344" s="41">
        <v>41841</v>
      </c>
      <c r="F344" s="36">
        <v>41843</v>
      </c>
      <c r="G344" s="37" t="s">
        <v>24</v>
      </c>
      <c r="H344" s="37" t="s">
        <v>80</v>
      </c>
      <c r="I344" s="36">
        <v>41892</v>
      </c>
      <c r="J344" s="37"/>
    </row>
    <row r="345" spans="2:10" ht="39.75" hidden="1" customHeight="1">
      <c r="B345" s="31">
        <v>1</v>
      </c>
      <c r="C345" s="33" t="s">
        <v>388</v>
      </c>
      <c r="D345" s="33"/>
      <c r="E345" s="41">
        <v>41848</v>
      </c>
      <c r="F345" s="36">
        <v>41843</v>
      </c>
      <c r="G345" s="37" t="s">
        <v>24</v>
      </c>
      <c r="H345" s="37" t="s">
        <v>34</v>
      </c>
      <c r="I345" s="36">
        <v>41848</v>
      </c>
      <c r="J345" s="37"/>
    </row>
    <row r="346" spans="2:10" ht="48.75" hidden="1" customHeight="1">
      <c r="B346" s="31">
        <v>1</v>
      </c>
      <c r="C346" s="33" t="s">
        <v>382</v>
      </c>
      <c r="D346" s="33"/>
      <c r="E346" s="41">
        <v>41844</v>
      </c>
      <c r="F346" s="36">
        <v>41843</v>
      </c>
      <c r="G346" s="37" t="s">
        <v>25</v>
      </c>
      <c r="H346" s="37" t="s">
        <v>34</v>
      </c>
      <c r="I346" s="36">
        <v>41848</v>
      </c>
      <c r="J346" s="37"/>
    </row>
    <row r="347" spans="2:10" ht="66.75" hidden="1" customHeight="1">
      <c r="B347" s="31">
        <v>1</v>
      </c>
      <c r="C347" s="33" t="s">
        <v>395</v>
      </c>
      <c r="D347" s="33"/>
      <c r="E347" s="41">
        <v>41851</v>
      </c>
      <c r="F347" s="36">
        <v>41843</v>
      </c>
      <c r="G347" s="37" t="s">
        <v>25</v>
      </c>
      <c r="H347" s="37" t="s">
        <v>13</v>
      </c>
      <c r="I347" s="36">
        <v>41892</v>
      </c>
      <c r="J347" s="37"/>
    </row>
    <row r="348" spans="2:10" ht="67.5" hidden="1" customHeight="1">
      <c r="B348" s="31">
        <v>1</v>
      </c>
      <c r="C348" s="33" t="s">
        <v>390</v>
      </c>
      <c r="D348" s="33"/>
      <c r="E348" s="41">
        <v>41848</v>
      </c>
      <c r="F348" s="36">
        <v>41844</v>
      </c>
      <c r="G348" s="37" t="s">
        <v>25</v>
      </c>
      <c r="H348" s="37" t="s">
        <v>67</v>
      </c>
      <c r="I348" s="36">
        <v>41892</v>
      </c>
      <c r="J348" s="37"/>
    </row>
    <row r="349" spans="2:10" ht="44.25" hidden="1" customHeight="1">
      <c r="B349" s="31">
        <v>1</v>
      </c>
      <c r="C349" s="33" t="s">
        <v>378</v>
      </c>
      <c r="D349" s="33"/>
      <c r="E349" s="41">
        <v>41844</v>
      </c>
      <c r="F349" s="36">
        <v>41850</v>
      </c>
      <c r="G349" s="37" t="s">
        <v>25</v>
      </c>
      <c r="H349" s="37" t="s">
        <v>63</v>
      </c>
      <c r="I349" s="36">
        <v>41892</v>
      </c>
      <c r="J349" s="37"/>
    </row>
    <row r="350" spans="2:10" ht="29.25" hidden="1" customHeight="1">
      <c r="B350" s="31">
        <v>1</v>
      </c>
      <c r="C350" s="33" t="s">
        <v>379</v>
      </c>
      <c r="D350" s="33"/>
      <c r="E350" s="41">
        <v>41844</v>
      </c>
      <c r="F350" s="36">
        <v>41850</v>
      </c>
      <c r="G350" s="37" t="s">
        <v>25</v>
      </c>
      <c r="H350" s="37" t="s">
        <v>63</v>
      </c>
      <c r="I350" s="36">
        <v>41892</v>
      </c>
      <c r="J350" s="37"/>
    </row>
    <row r="351" spans="2:10" ht="29.25" hidden="1" customHeight="1">
      <c r="B351" s="31">
        <v>1</v>
      </c>
      <c r="C351" s="33" t="s">
        <v>380</v>
      </c>
      <c r="D351" s="33"/>
      <c r="E351" s="41">
        <v>41844</v>
      </c>
      <c r="F351" s="36">
        <v>41848</v>
      </c>
      <c r="G351" s="37" t="s">
        <v>25</v>
      </c>
      <c r="H351" s="37" t="s">
        <v>189</v>
      </c>
      <c r="I351" s="36">
        <v>41892</v>
      </c>
      <c r="J351" s="37"/>
    </row>
    <row r="352" spans="2:10" ht="29.25" hidden="1" customHeight="1">
      <c r="B352" s="31">
        <v>1</v>
      </c>
      <c r="C352" s="33" t="s">
        <v>381</v>
      </c>
      <c r="D352" s="33"/>
      <c r="E352" s="41">
        <v>41844</v>
      </c>
      <c r="F352" s="36">
        <v>41848</v>
      </c>
      <c r="G352" s="37" t="s">
        <v>24</v>
      </c>
      <c r="H352" s="37" t="s">
        <v>34</v>
      </c>
      <c r="I352" s="36">
        <v>41845</v>
      </c>
      <c r="J352" s="37"/>
    </row>
    <row r="353" spans="2:10" ht="42.75" hidden="1" customHeight="1">
      <c r="B353" s="31">
        <v>1</v>
      </c>
      <c r="C353" s="33" t="s">
        <v>394</v>
      </c>
      <c r="D353" s="33"/>
      <c r="E353" s="41">
        <v>41851</v>
      </c>
      <c r="F353" s="36">
        <v>41845</v>
      </c>
      <c r="G353" s="37" t="s">
        <v>24</v>
      </c>
      <c r="H353" s="37" t="s">
        <v>34</v>
      </c>
      <c r="I353" s="36">
        <v>41851</v>
      </c>
      <c r="J353" s="37"/>
    </row>
    <row r="354" spans="2:10" ht="29.25" hidden="1" customHeight="1">
      <c r="B354" s="31">
        <v>1</v>
      </c>
      <c r="C354" s="33" t="s">
        <v>393</v>
      </c>
      <c r="D354" s="33"/>
      <c r="E354" s="41">
        <v>41845</v>
      </c>
      <c r="F354" s="36">
        <v>41848</v>
      </c>
      <c r="G354" s="37" t="s">
        <v>24</v>
      </c>
      <c r="H354" s="37" t="s">
        <v>34</v>
      </c>
      <c r="I354" s="36">
        <v>41851</v>
      </c>
      <c r="J354" s="37"/>
    </row>
    <row r="355" spans="2:10" ht="29.25" hidden="1" customHeight="1">
      <c r="B355" s="31">
        <v>1</v>
      </c>
      <c r="C355" s="33" t="s">
        <v>391</v>
      </c>
      <c r="D355" s="33"/>
      <c r="E355" s="41">
        <v>41866</v>
      </c>
      <c r="F355" s="36">
        <v>41866</v>
      </c>
      <c r="G355" s="37" t="s">
        <v>25</v>
      </c>
      <c r="H355" s="37" t="s">
        <v>34</v>
      </c>
      <c r="I355" s="36">
        <v>41849</v>
      </c>
      <c r="J355" s="37"/>
    </row>
    <row r="356" spans="2:10" ht="29.25" hidden="1" customHeight="1">
      <c r="B356" s="31">
        <v>1</v>
      </c>
      <c r="C356" s="33" t="s">
        <v>398</v>
      </c>
      <c r="D356" s="33"/>
      <c r="E356" s="41">
        <v>41855</v>
      </c>
      <c r="F356" s="36">
        <v>41857</v>
      </c>
      <c r="G356" s="37" t="s">
        <v>25</v>
      </c>
      <c r="H356" s="37" t="s">
        <v>110</v>
      </c>
      <c r="I356" s="36">
        <v>41855</v>
      </c>
      <c r="J356" s="37"/>
    </row>
    <row r="357" spans="2:10" ht="29.25" hidden="1" customHeight="1">
      <c r="B357" s="31">
        <v>1</v>
      </c>
      <c r="C357" s="33" t="s">
        <v>512</v>
      </c>
      <c r="D357" s="41">
        <v>41928</v>
      </c>
      <c r="E357" s="41">
        <v>41941</v>
      </c>
      <c r="F357" s="36">
        <v>41950</v>
      </c>
      <c r="G357" s="37" t="s">
        <v>24</v>
      </c>
      <c r="H357" s="37" t="s">
        <v>34</v>
      </c>
      <c r="I357" s="36">
        <v>41947</v>
      </c>
      <c r="J357" s="37"/>
    </row>
    <row r="358" spans="2:10" ht="29.25" hidden="1" customHeight="1">
      <c r="B358" s="31">
        <v>1</v>
      </c>
      <c r="C358" s="33" t="s">
        <v>385</v>
      </c>
      <c r="D358" s="33"/>
      <c r="E358" s="41">
        <v>41849</v>
      </c>
      <c r="F358" s="36">
        <v>41850</v>
      </c>
      <c r="G358" s="37" t="s">
        <v>25</v>
      </c>
      <c r="H358" s="37" t="s">
        <v>17</v>
      </c>
      <c r="I358" s="36">
        <v>41892</v>
      </c>
      <c r="J358" s="37"/>
    </row>
    <row r="359" spans="2:10" ht="44.25" hidden="1" customHeight="1">
      <c r="B359" s="31">
        <v>1</v>
      </c>
      <c r="C359" s="33" t="s">
        <v>409</v>
      </c>
      <c r="D359" s="33"/>
      <c r="E359" s="41">
        <v>41866</v>
      </c>
      <c r="F359" s="36">
        <v>41866</v>
      </c>
      <c r="G359" s="37" t="s">
        <v>25</v>
      </c>
      <c r="H359" s="37" t="s">
        <v>34</v>
      </c>
      <c r="I359" s="36">
        <v>41864</v>
      </c>
      <c r="J359" s="37"/>
    </row>
    <row r="360" spans="2:10" ht="29.25" hidden="1" customHeight="1">
      <c r="B360" s="31">
        <v>1</v>
      </c>
      <c r="C360" s="33" t="s">
        <v>392</v>
      </c>
      <c r="D360" s="33"/>
      <c r="E360" s="41">
        <v>41851</v>
      </c>
      <c r="F360" s="36">
        <v>41858</v>
      </c>
      <c r="G360" s="37" t="s">
        <v>25</v>
      </c>
      <c r="H360" s="37" t="s">
        <v>34</v>
      </c>
      <c r="I360" s="36">
        <v>41851</v>
      </c>
      <c r="J360" s="37"/>
    </row>
    <row r="361" spans="2:10" ht="29.25" hidden="1" customHeight="1">
      <c r="B361" s="31">
        <v>1</v>
      </c>
      <c r="C361" s="33" t="s">
        <v>400</v>
      </c>
      <c r="D361" s="33"/>
      <c r="E361" s="41">
        <v>41856</v>
      </c>
      <c r="F361" s="36">
        <v>41856</v>
      </c>
      <c r="G361" s="37" t="s">
        <v>25</v>
      </c>
      <c r="H361" s="37" t="s">
        <v>34</v>
      </c>
      <c r="I361" s="36">
        <v>41856</v>
      </c>
      <c r="J361" s="37"/>
    </row>
    <row r="362" spans="2:10" ht="52.5" hidden="1" customHeight="1">
      <c r="B362" s="31">
        <v>1</v>
      </c>
      <c r="C362" s="33" t="s">
        <v>401</v>
      </c>
      <c r="D362" s="33"/>
      <c r="E362" s="41">
        <v>41856</v>
      </c>
      <c r="F362" s="36">
        <v>41856</v>
      </c>
      <c r="G362" s="37" t="s">
        <v>25</v>
      </c>
      <c r="H362" s="37" t="s">
        <v>110</v>
      </c>
      <c r="I362" s="36">
        <v>41859</v>
      </c>
      <c r="J362" s="37"/>
    </row>
    <row r="363" spans="2:10" ht="29.25" hidden="1" customHeight="1">
      <c r="B363" s="31">
        <v>1</v>
      </c>
      <c r="C363" s="47" t="s">
        <v>464</v>
      </c>
      <c r="D363" s="47"/>
      <c r="E363" s="41">
        <v>41927</v>
      </c>
      <c r="F363" s="36">
        <v>41953</v>
      </c>
      <c r="G363" s="37" t="s">
        <v>25</v>
      </c>
      <c r="H363" s="37" t="s">
        <v>34</v>
      </c>
      <c r="I363" s="36">
        <v>41934</v>
      </c>
      <c r="J363" s="37"/>
    </row>
    <row r="364" spans="2:10" ht="72.75" hidden="1" customHeight="1">
      <c r="B364" s="31">
        <v>1</v>
      </c>
      <c r="C364" s="33" t="s">
        <v>444</v>
      </c>
      <c r="D364" s="33"/>
      <c r="E364" s="41">
        <v>41856</v>
      </c>
      <c r="F364" s="36">
        <v>41855</v>
      </c>
      <c r="G364" s="37" t="s">
        <v>25</v>
      </c>
      <c r="H364" s="37" t="s">
        <v>16</v>
      </c>
      <c r="I364" s="36">
        <v>41901</v>
      </c>
      <c r="J364" s="37"/>
    </row>
    <row r="365" spans="2:10" ht="75" hidden="1" customHeight="1">
      <c r="B365" s="31">
        <v>1</v>
      </c>
      <c r="C365" s="33" t="s">
        <v>430</v>
      </c>
      <c r="D365" s="33"/>
      <c r="E365" s="41">
        <v>41873</v>
      </c>
      <c r="F365" s="36">
        <v>41873</v>
      </c>
      <c r="G365" s="37" t="s">
        <v>25</v>
      </c>
      <c r="H365" s="37" t="s">
        <v>34</v>
      </c>
      <c r="I365" s="36">
        <v>41892</v>
      </c>
      <c r="J365" s="37"/>
    </row>
    <row r="366" spans="2:10" ht="29.25" hidden="1" customHeight="1">
      <c r="B366" s="31">
        <v>1</v>
      </c>
      <c r="C366" s="33" t="s">
        <v>403</v>
      </c>
      <c r="D366" s="33"/>
      <c r="E366" s="41">
        <v>41859</v>
      </c>
      <c r="F366" s="36">
        <v>41857</v>
      </c>
      <c r="G366" s="37" t="s">
        <v>24</v>
      </c>
      <c r="H366" s="37" t="s">
        <v>34</v>
      </c>
      <c r="I366" s="36">
        <v>41859</v>
      </c>
      <c r="J366" s="37"/>
    </row>
    <row r="367" spans="2:10" ht="116.25" hidden="1" customHeight="1">
      <c r="B367" s="31">
        <v>1</v>
      </c>
      <c r="C367" s="33" t="s">
        <v>397</v>
      </c>
      <c r="D367" s="33"/>
      <c r="E367" s="33"/>
      <c r="F367" s="36"/>
      <c r="G367" s="37"/>
      <c r="H367" s="37"/>
      <c r="I367" s="36">
        <v>41901</v>
      </c>
      <c r="J367" s="37"/>
    </row>
    <row r="368" spans="2:10" ht="29.25" hidden="1" customHeight="1">
      <c r="B368" s="31">
        <v>1</v>
      </c>
      <c r="C368" s="33" t="s">
        <v>465</v>
      </c>
      <c r="D368" s="33"/>
      <c r="E368" s="41">
        <v>41927</v>
      </c>
      <c r="F368" s="36">
        <v>41963</v>
      </c>
      <c r="G368" s="37" t="s">
        <v>25</v>
      </c>
      <c r="H368" s="37" t="s">
        <v>34</v>
      </c>
      <c r="I368" s="36">
        <v>41934</v>
      </c>
      <c r="J368" s="37"/>
    </row>
    <row r="369" spans="2:10" ht="72.75" hidden="1" customHeight="1">
      <c r="B369" s="31">
        <v>1</v>
      </c>
      <c r="C369" s="33" t="s">
        <v>410</v>
      </c>
      <c r="D369" s="33"/>
      <c r="E369" s="41">
        <v>41858</v>
      </c>
      <c r="F369" s="36">
        <v>41858</v>
      </c>
      <c r="G369" s="37" t="s">
        <v>24</v>
      </c>
      <c r="H369" s="37" t="s">
        <v>15</v>
      </c>
      <c r="I369" s="36">
        <v>41892</v>
      </c>
      <c r="J369" s="37"/>
    </row>
    <row r="370" spans="2:10" ht="57.75" hidden="1" customHeight="1">
      <c r="B370" s="31">
        <v>1</v>
      </c>
      <c r="C370" s="33" t="s">
        <v>411</v>
      </c>
      <c r="D370" s="33"/>
      <c r="E370" s="41">
        <v>41857</v>
      </c>
      <c r="F370" s="36">
        <v>41858</v>
      </c>
      <c r="G370" s="37" t="s">
        <v>25</v>
      </c>
      <c r="H370" s="37" t="s">
        <v>33</v>
      </c>
      <c r="I370" s="36">
        <v>41892</v>
      </c>
      <c r="J370" s="37"/>
    </row>
    <row r="371" spans="2:10" ht="66" hidden="1" customHeight="1">
      <c r="B371" s="31">
        <v>1</v>
      </c>
      <c r="C371" s="33" t="s">
        <v>412</v>
      </c>
      <c r="D371" s="33"/>
      <c r="E371" s="41">
        <v>41859</v>
      </c>
      <c r="F371" s="36">
        <v>41862</v>
      </c>
      <c r="G371" s="37" t="s">
        <v>24</v>
      </c>
      <c r="H371" s="37" t="s">
        <v>34</v>
      </c>
      <c r="I371" s="36">
        <v>41864</v>
      </c>
      <c r="J371" s="37"/>
    </row>
    <row r="372" spans="2:10" ht="90" hidden="1" customHeight="1">
      <c r="B372" s="31">
        <v>1</v>
      </c>
      <c r="C372" s="33" t="s">
        <v>422</v>
      </c>
      <c r="D372" s="33"/>
      <c r="E372" s="41">
        <v>41870</v>
      </c>
      <c r="F372" s="36">
        <v>41871</v>
      </c>
      <c r="G372" s="37" t="s">
        <v>24</v>
      </c>
      <c r="H372" s="37" t="s">
        <v>34</v>
      </c>
      <c r="I372" s="36">
        <v>41878</v>
      </c>
      <c r="J372" s="37"/>
    </row>
    <row r="373" spans="2:10" ht="90.75" hidden="1" customHeight="1">
      <c r="B373" s="31">
        <v>1</v>
      </c>
      <c r="C373" s="33" t="s">
        <v>404</v>
      </c>
      <c r="D373" s="33"/>
      <c r="E373" s="41">
        <v>41863</v>
      </c>
      <c r="F373" s="36">
        <v>41864</v>
      </c>
      <c r="G373" s="37" t="s">
        <v>24</v>
      </c>
      <c r="H373" s="37" t="s">
        <v>110</v>
      </c>
      <c r="I373" s="36">
        <v>41892</v>
      </c>
      <c r="J373" s="37"/>
    </row>
    <row r="374" spans="2:10" ht="68.25" hidden="1" customHeight="1">
      <c r="B374" s="31">
        <v>1</v>
      </c>
      <c r="C374" s="33" t="s">
        <v>405</v>
      </c>
      <c r="D374" s="33"/>
      <c r="E374" s="41">
        <v>41864</v>
      </c>
      <c r="F374" s="36">
        <v>41869</v>
      </c>
      <c r="G374" s="37" t="s">
        <v>24</v>
      </c>
      <c r="H374" s="37" t="s">
        <v>16</v>
      </c>
      <c r="I374" s="36">
        <v>41892</v>
      </c>
      <c r="J374" s="37"/>
    </row>
    <row r="375" spans="2:10" ht="66" hidden="1" customHeight="1">
      <c r="B375" s="31">
        <v>1</v>
      </c>
      <c r="C375" s="33" t="s">
        <v>413</v>
      </c>
      <c r="D375" s="33"/>
      <c r="E375" s="41">
        <v>41864</v>
      </c>
      <c r="F375" s="36">
        <v>41865</v>
      </c>
      <c r="G375" s="37" t="s">
        <v>24</v>
      </c>
      <c r="H375" s="37" t="s">
        <v>110</v>
      </c>
      <c r="I375" s="36">
        <v>41892</v>
      </c>
      <c r="J375" s="37"/>
    </row>
    <row r="376" spans="2:10" ht="46.5" hidden="1" customHeight="1">
      <c r="B376" s="31">
        <v>1</v>
      </c>
      <c r="C376" s="33" t="s">
        <v>406</v>
      </c>
      <c r="D376" s="33"/>
      <c r="E376" s="41">
        <v>41864</v>
      </c>
      <c r="F376" s="36">
        <v>41869</v>
      </c>
      <c r="G376" s="37" t="s">
        <v>24</v>
      </c>
      <c r="H376" s="37" t="s">
        <v>122</v>
      </c>
      <c r="I376" s="36">
        <v>41892</v>
      </c>
      <c r="J376" s="37"/>
    </row>
    <row r="377" spans="2:10" ht="51" hidden="1" customHeight="1">
      <c r="B377" s="31">
        <v>1</v>
      </c>
      <c r="C377" s="33" t="s">
        <v>407</v>
      </c>
      <c r="D377" s="33"/>
      <c r="E377" s="41">
        <v>41864</v>
      </c>
      <c r="F377" s="36">
        <v>41869</v>
      </c>
      <c r="G377" s="37" t="s">
        <v>24</v>
      </c>
      <c r="H377" s="37" t="s">
        <v>13</v>
      </c>
      <c r="I377" s="36">
        <v>41892</v>
      </c>
      <c r="J377" s="37"/>
    </row>
    <row r="378" spans="2:10" ht="63" hidden="1" customHeight="1">
      <c r="B378" s="31">
        <v>1</v>
      </c>
      <c r="C378" s="33" t="s">
        <v>408</v>
      </c>
      <c r="D378" s="33"/>
      <c r="E378" s="41">
        <v>41864</v>
      </c>
      <c r="F378" s="36">
        <v>41869</v>
      </c>
      <c r="G378" s="37" t="s">
        <v>25</v>
      </c>
      <c r="H378" s="37" t="s">
        <v>146</v>
      </c>
      <c r="I378" s="36">
        <v>41892</v>
      </c>
      <c r="J378" s="37"/>
    </row>
    <row r="379" spans="2:10" ht="29.25" hidden="1" customHeight="1">
      <c r="B379" s="31">
        <v>1</v>
      </c>
      <c r="C379" s="33" t="s">
        <v>417</v>
      </c>
      <c r="D379" s="33"/>
      <c r="E379" s="41">
        <v>41869</v>
      </c>
      <c r="F379" s="36">
        <v>41869</v>
      </c>
      <c r="G379" s="37" t="s">
        <v>25</v>
      </c>
      <c r="H379" s="37" t="s">
        <v>34</v>
      </c>
      <c r="I379" s="36">
        <v>41871</v>
      </c>
      <c r="J379" s="37"/>
    </row>
    <row r="380" spans="2:10" ht="29.25" hidden="1" customHeight="1">
      <c r="B380" s="31">
        <v>1</v>
      </c>
      <c r="C380" s="33" t="s">
        <v>418</v>
      </c>
      <c r="D380" s="33"/>
      <c r="E380" s="41">
        <v>41869</v>
      </c>
      <c r="F380" s="36">
        <v>41869</v>
      </c>
      <c r="G380" s="37" t="s">
        <v>25</v>
      </c>
      <c r="H380" s="37" t="s">
        <v>34</v>
      </c>
      <c r="I380" s="36">
        <v>41871</v>
      </c>
      <c r="J380" s="37"/>
    </row>
    <row r="381" spans="2:10" ht="29.25" hidden="1" customHeight="1">
      <c r="B381" s="31">
        <v>1</v>
      </c>
      <c r="C381" s="33" t="s">
        <v>414</v>
      </c>
      <c r="D381" s="33"/>
      <c r="E381" s="41">
        <v>41869</v>
      </c>
      <c r="F381" s="36">
        <v>41869</v>
      </c>
      <c r="G381" s="37" t="s">
        <v>24</v>
      </c>
      <c r="H381" s="37" t="s">
        <v>34</v>
      </c>
      <c r="I381" s="36">
        <v>41869</v>
      </c>
      <c r="J381" s="37"/>
    </row>
    <row r="382" spans="2:10" ht="66" hidden="1" customHeight="1">
      <c r="B382" s="31">
        <v>1</v>
      </c>
      <c r="C382" s="33" t="s">
        <v>415</v>
      </c>
      <c r="D382" s="33"/>
      <c r="E382" s="41">
        <v>41870</v>
      </c>
      <c r="F382" s="36">
        <v>41870</v>
      </c>
      <c r="G382" s="37" t="s">
        <v>24</v>
      </c>
      <c r="H382" s="37" t="s">
        <v>34</v>
      </c>
      <c r="I382" s="36">
        <v>41878</v>
      </c>
      <c r="J382" s="37"/>
    </row>
    <row r="383" spans="2:10" ht="44.25" hidden="1" customHeight="1">
      <c r="B383" s="31">
        <v>1</v>
      </c>
      <c r="C383" s="33" t="s">
        <v>419</v>
      </c>
      <c r="D383" s="33"/>
      <c r="E383" s="41">
        <v>41870</v>
      </c>
      <c r="F383" s="36">
        <v>41871</v>
      </c>
      <c r="G383" s="37" t="s">
        <v>24</v>
      </c>
      <c r="H383" s="37" t="s">
        <v>34</v>
      </c>
      <c r="I383" s="36">
        <v>41872</v>
      </c>
      <c r="J383" s="37"/>
    </row>
    <row r="384" spans="2:10" ht="36" hidden="1" customHeight="1">
      <c r="B384" s="31">
        <v>1</v>
      </c>
      <c r="C384" s="33" t="s">
        <v>416</v>
      </c>
      <c r="D384" s="33"/>
      <c r="E384" s="33"/>
      <c r="F384" s="36"/>
      <c r="G384" s="37"/>
      <c r="H384" s="37"/>
      <c r="I384" s="36">
        <v>41892</v>
      </c>
      <c r="J384" s="37"/>
    </row>
    <row r="385" spans="2:10" ht="49.5" hidden="1" customHeight="1">
      <c r="B385" s="31">
        <v>1</v>
      </c>
      <c r="C385" s="33" t="s">
        <v>423</v>
      </c>
      <c r="D385" s="33"/>
      <c r="E385" s="41">
        <v>41879</v>
      </c>
      <c r="F385" s="36">
        <v>41880</v>
      </c>
      <c r="G385" s="37" t="s">
        <v>24</v>
      </c>
      <c r="H385" s="37" t="s">
        <v>34</v>
      </c>
      <c r="I385" s="36">
        <v>41893</v>
      </c>
      <c r="J385" s="37"/>
    </row>
    <row r="386" spans="2:10" ht="29.25" hidden="1" customHeight="1">
      <c r="B386" s="31">
        <v>1</v>
      </c>
      <c r="C386" s="33" t="s">
        <v>420</v>
      </c>
      <c r="D386" s="33"/>
      <c r="E386" s="41">
        <v>41876</v>
      </c>
      <c r="F386" s="36">
        <v>41877</v>
      </c>
      <c r="G386" s="37" t="s">
        <v>24</v>
      </c>
      <c r="H386" s="37" t="s">
        <v>13</v>
      </c>
      <c r="I386" s="36">
        <v>41892</v>
      </c>
      <c r="J386" s="37"/>
    </row>
    <row r="387" spans="2:10" ht="59.25" hidden="1" customHeight="1">
      <c r="B387" s="31">
        <v>1</v>
      </c>
      <c r="C387" s="33" t="s">
        <v>431</v>
      </c>
      <c r="D387" s="33"/>
      <c r="E387" s="41">
        <v>41879</v>
      </c>
      <c r="F387" s="36">
        <v>41901</v>
      </c>
      <c r="G387" s="37" t="s">
        <v>25</v>
      </c>
      <c r="H387" s="37" t="s">
        <v>34</v>
      </c>
      <c r="I387" s="36">
        <v>41892</v>
      </c>
      <c r="J387" s="37"/>
    </row>
    <row r="388" spans="2:10" ht="47.25" hidden="1" customHeight="1">
      <c r="B388" s="31">
        <v>1</v>
      </c>
      <c r="C388" s="33" t="s">
        <v>425</v>
      </c>
      <c r="D388" s="33"/>
      <c r="E388" s="41">
        <v>41872</v>
      </c>
      <c r="F388" s="36">
        <v>41876</v>
      </c>
      <c r="G388" s="37" t="s">
        <v>24</v>
      </c>
      <c r="H388" s="37" t="s">
        <v>34</v>
      </c>
      <c r="I388" s="36">
        <v>41885</v>
      </c>
      <c r="J388" s="37"/>
    </row>
    <row r="389" spans="2:10" ht="41.25" hidden="1" customHeight="1">
      <c r="B389" s="31">
        <v>1</v>
      </c>
      <c r="C389" s="33" t="s">
        <v>421</v>
      </c>
      <c r="D389" s="33"/>
      <c r="E389" s="41">
        <v>41876</v>
      </c>
      <c r="F389" s="36">
        <v>41876</v>
      </c>
      <c r="G389" s="37" t="s">
        <v>24</v>
      </c>
      <c r="H389" s="37" t="s">
        <v>34</v>
      </c>
      <c r="I389" s="36">
        <v>41878</v>
      </c>
      <c r="J389" s="37"/>
    </row>
    <row r="390" spans="2:10" ht="44.25" hidden="1" customHeight="1">
      <c r="B390" s="31">
        <v>1</v>
      </c>
      <c r="C390" s="33" t="s">
        <v>432</v>
      </c>
      <c r="D390" s="33"/>
      <c r="E390" s="41">
        <v>41879</v>
      </c>
      <c r="F390" s="36">
        <v>41880</v>
      </c>
      <c r="G390" s="37" t="s">
        <v>24</v>
      </c>
      <c r="H390" s="37" t="s">
        <v>34</v>
      </c>
      <c r="I390" s="36">
        <v>41892</v>
      </c>
      <c r="J390" s="37"/>
    </row>
    <row r="391" spans="2:10" ht="81" hidden="1" customHeight="1">
      <c r="B391" s="31">
        <v>1</v>
      </c>
      <c r="C391" s="33" t="s">
        <v>424</v>
      </c>
      <c r="D391" s="33"/>
      <c r="E391" s="41">
        <v>41883</v>
      </c>
      <c r="F391" s="36">
        <v>41883</v>
      </c>
      <c r="G391" s="37" t="s">
        <v>26</v>
      </c>
      <c r="H391" s="37" t="s">
        <v>146</v>
      </c>
      <c r="I391" s="36">
        <v>41892</v>
      </c>
      <c r="J391" s="37"/>
    </row>
    <row r="392" spans="2:10" ht="65.25" hidden="1" customHeight="1">
      <c r="B392" s="31">
        <v>1</v>
      </c>
      <c r="C392" s="33" t="s">
        <v>433</v>
      </c>
      <c r="D392" s="33"/>
      <c r="E392" s="41">
        <v>41893</v>
      </c>
      <c r="F392" s="36">
        <v>41890</v>
      </c>
      <c r="G392" s="37" t="s">
        <v>24</v>
      </c>
      <c r="H392" s="37" t="s">
        <v>34</v>
      </c>
      <c r="I392" s="36">
        <v>41901</v>
      </c>
      <c r="J392" s="37"/>
    </row>
    <row r="393" spans="2:10" ht="63" hidden="1" customHeight="1">
      <c r="B393" s="31">
        <v>1</v>
      </c>
      <c r="C393" s="33" t="s">
        <v>447</v>
      </c>
      <c r="D393" s="33"/>
      <c r="E393" s="41">
        <v>41927</v>
      </c>
      <c r="F393" s="36">
        <v>41927</v>
      </c>
      <c r="G393" s="37" t="s">
        <v>24</v>
      </c>
      <c r="H393" s="37" t="s">
        <v>34</v>
      </c>
      <c r="I393" s="36">
        <v>41906</v>
      </c>
      <c r="J393" s="37"/>
    </row>
    <row r="394" spans="2:10" ht="70.5" hidden="1" customHeight="1">
      <c r="B394" s="31">
        <v>1</v>
      </c>
      <c r="C394" s="33" t="s">
        <v>426</v>
      </c>
      <c r="D394" s="33"/>
      <c r="E394" s="41">
        <v>41892</v>
      </c>
      <c r="F394" s="36">
        <v>41893</v>
      </c>
      <c r="G394" s="37" t="s">
        <v>25</v>
      </c>
      <c r="H394" s="37" t="s">
        <v>34</v>
      </c>
      <c r="I394" s="36">
        <v>41893</v>
      </c>
      <c r="J394" s="37"/>
    </row>
    <row r="395" spans="2:10" ht="46.5" hidden="1" customHeight="1">
      <c r="B395" s="31">
        <v>1</v>
      </c>
      <c r="C395" s="33" t="s">
        <v>455</v>
      </c>
      <c r="D395" s="33"/>
      <c r="E395" s="41">
        <v>41912</v>
      </c>
      <c r="F395" s="36">
        <v>41906</v>
      </c>
      <c r="G395" s="37" t="s">
        <v>26</v>
      </c>
      <c r="H395" s="37" t="s">
        <v>34</v>
      </c>
      <c r="I395" s="36">
        <v>41926</v>
      </c>
      <c r="J395" s="37"/>
    </row>
    <row r="396" spans="2:10" ht="29.25" hidden="1" customHeight="1">
      <c r="B396" s="31">
        <v>1</v>
      </c>
      <c r="C396" s="33" t="s">
        <v>436</v>
      </c>
      <c r="D396" s="33"/>
      <c r="E396" s="41">
        <v>41894</v>
      </c>
      <c r="F396" s="36">
        <v>41894</v>
      </c>
      <c r="G396" s="37" t="s">
        <v>25</v>
      </c>
      <c r="H396" s="37" t="s">
        <v>34</v>
      </c>
      <c r="I396" s="36">
        <v>41898</v>
      </c>
      <c r="J396" s="37"/>
    </row>
    <row r="397" spans="2:10" ht="42" hidden="1" customHeight="1">
      <c r="B397" s="31">
        <v>1</v>
      </c>
      <c r="C397" s="47" t="s">
        <v>466</v>
      </c>
      <c r="D397" s="41"/>
      <c r="E397" s="41">
        <v>41927</v>
      </c>
      <c r="F397" s="36">
        <v>41893</v>
      </c>
      <c r="G397" s="37" t="s">
        <v>25</v>
      </c>
      <c r="H397" s="37" t="s">
        <v>34</v>
      </c>
      <c r="I397" s="36">
        <v>41934</v>
      </c>
      <c r="J397" s="37"/>
    </row>
    <row r="398" spans="2:10" ht="36.75" hidden="1" customHeight="1">
      <c r="B398" s="31">
        <v>1</v>
      </c>
      <c r="C398" s="33" t="s">
        <v>435</v>
      </c>
      <c r="D398" s="33"/>
      <c r="E398" s="41">
        <v>41894</v>
      </c>
      <c r="F398" s="36">
        <v>41901</v>
      </c>
      <c r="G398" s="37" t="s">
        <v>26</v>
      </c>
      <c r="H398" s="37" t="s">
        <v>34</v>
      </c>
      <c r="I398" s="36">
        <v>41898</v>
      </c>
      <c r="J398" s="37"/>
    </row>
    <row r="399" spans="2:10" ht="29.25" hidden="1" customHeight="1">
      <c r="B399" s="31">
        <v>1</v>
      </c>
      <c r="C399" s="33" t="s">
        <v>513</v>
      </c>
      <c r="D399" s="41">
        <v>41929</v>
      </c>
      <c r="E399" s="41">
        <v>41940</v>
      </c>
      <c r="F399" s="36">
        <v>41936</v>
      </c>
      <c r="G399" s="37" t="s">
        <v>24</v>
      </c>
      <c r="H399" s="37" t="s">
        <v>34</v>
      </c>
      <c r="I399" s="36">
        <v>41947</v>
      </c>
      <c r="J399" s="37"/>
    </row>
    <row r="400" spans="2:10" ht="29.25" hidden="1" customHeight="1">
      <c r="B400" s="31">
        <v>1</v>
      </c>
      <c r="C400" s="33" t="s">
        <v>441</v>
      </c>
      <c r="D400" s="41">
        <v>41894</v>
      </c>
      <c r="E400" s="41">
        <v>41894</v>
      </c>
      <c r="F400" s="36">
        <v>41898</v>
      </c>
      <c r="G400" s="37" t="s">
        <v>25</v>
      </c>
      <c r="H400" s="37" t="s">
        <v>34</v>
      </c>
      <c r="I400" s="36">
        <v>41899</v>
      </c>
      <c r="J400" s="37"/>
    </row>
    <row r="401" spans="2:10" ht="29.25" hidden="1" customHeight="1">
      <c r="B401" s="31">
        <v>1</v>
      </c>
      <c r="C401" s="33" t="s">
        <v>440</v>
      </c>
      <c r="D401" s="41">
        <v>41894</v>
      </c>
      <c r="E401" s="41">
        <v>41901</v>
      </c>
      <c r="F401" s="36">
        <v>41901</v>
      </c>
      <c r="G401" s="37" t="s">
        <v>25</v>
      </c>
      <c r="H401" s="37" t="s">
        <v>34</v>
      </c>
      <c r="I401" s="36">
        <v>41900</v>
      </c>
      <c r="J401" s="37"/>
    </row>
    <row r="402" spans="2:10" ht="29.25" hidden="1" customHeight="1">
      <c r="B402" s="31">
        <v>1</v>
      </c>
      <c r="C402" s="33" t="s">
        <v>434</v>
      </c>
      <c r="D402" s="33"/>
      <c r="E402" s="33"/>
      <c r="F402" s="36"/>
      <c r="G402" s="37"/>
      <c r="H402" s="37"/>
      <c r="I402" s="36">
        <v>41898</v>
      </c>
      <c r="J402" s="37"/>
    </row>
    <row r="403" spans="2:10" ht="75.75" hidden="1" customHeight="1">
      <c r="B403" s="31">
        <v>1</v>
      </c>
      <c r="C403" s="33" t="s">
        <v>442</v>
      </c>
      <c r="D403" s="41">
        <v>41898</v>
      </c>
      <c r="E403" s="41">
        <v>41898</v>
      </c>
      <c r="F403" s="36">
        <v>41898</v>
      </c>
      <c r="G403" s="37" t="s">
        <v>25</v>
      </c>
      <c r="H403" s="37" t="s">
        <v>34</v>
      </c>
      <c r="I403" s="36">
        <v>41900</v>
      </c>
      <c r="J403" s="37"/>
    </row>
    <row r="404" spans="2:10" ht="46.5" hidden="1" customHeight="1">
      <c r="B404" s="31">
        <v>1</v>
      </c>
      <c r="C404" s="33" t="s">
        <v>439</v>
      </c>
      <c r="D404" s="41">
        <v>41898</v>
      </c>
      <c r="E404" s="41">
        <v>41898</v>
      </c>
      <c r="F404" s="36">
        <v>41898</v>
      </c>
      <c r="G404" s="37" t="s">
        <v>25</v>
      </c>
      <c r="H404" s="37" t="s">
        <v>34</v>
      </c>
      <c r="I404" s="36">
        <v>41899</v>
      </c>
      <c r="J404" s="37"/>
    </row>
    <row r="405" spans="2:10" ht="57" hidden="1" customHeight="1">
      <c r="B405" s="31">
        <v>1</v>
      </c>
      <c r="C405" s="33" t="s">
        <v>450</v>
      </c>
      <c r="D405" s="41">
        <v>41898</v>
      </c>
      <c r="E405" s="41">
        <v>41911</v>
      </c>
      <c r="F405" s="36">
        <v>41911</v>
      </c>
      <c r="G405" s="37" t="s">
        <v>25</v>
      </c>
      <c r="H405" s="37" t="s">
        <v>34</v>
      </c>
      <c r="I405" s="36">
        <v>41933</v>
      </c>
      <c r="J405" s="37"/>
    </row>
    <row r="406" spans="2:10" ht="29.25" hidden="1" customHeight="1">
      <c r="B406" s="31">
        <v>1</v>
      </c>
      <c r="C406" s="33" t="s">
        <v>438</v>
      </c>
      <c r="D406" s="41">
        <v>41899</v>
      </c>
      <c r="E406" s="41">
        <v>41899</v>
      </c>
      <c r="F406" s="36">
        <v>41900</v>
      </c>
      <c r="G406" s="37" t="s">
        <v>25</v>
      </c>
      <c r="H406" s="37" t="s">
        <v>34</v>
      </c>
      <c r="I406" s="36">
        <v>41899</v>
      </c>
      <c r="J406" s="37"/>
    </row>
    <row r="407" spans="2:10" ht="63.75" hidden="1" customHeight="1">
      <c r="B407" s="31">
        <v>1</v>
      </c>
      <c r="C407" s="33" t="s">
        <v>446</v>
      </c>
      <c r="D407" s="41">
        <v>41899</v>
      </c>
      <c r="E407" s="41">
        <v>41900</v>
      </c>
      <c r="F407" s="36">
        <v>41906</v>
      </c>
      <c r="G407" s="37" t="s">
        <v>25</v>
      </c>
      <c r="H407" s="37" t="s">
        <v>110</v>
      </c>
      <c r="I407" s="36">
        <v>41906</v>
      </c>
      <c r="J407" s="37"/>
    </row>
    <row r="408" spans="2:10" ht="61.5" hidden="1" customHeight="1">
      <c r="B408" s="31">
        <v>1</v>
      </c>
      <c r="C408" s="33" t="s">
        <v>476</v>
      </c>
      <c r="D408" s="41">
        <v>41899</v>
      </c>
      <c r="E408" s="41">
        <v>41901</v>
      </c>
      <c r="F408" s="36">
        <v>41904</v>
      </c>
      <c r="G408" s="37" t="s">
        <v>25</v>
      </c>
      <c r="H408" s="37" t="s">
        <v>13</v>
      </c>
      <c r="I408" s="36">
        <v>41934</v>
      </c>
      <c r="J408" s="37"/>
    </row>
    <row r="409" spans="2:10" ht="71.25" hidden="1" customHeight="1">
      <c r="B409" s="31">
        <v>1</v>
      </c>
      <c r="C409" s="33" t="s">
        <v>443</v>
      </c>
      <c r="D409" s="41">
        <v>41899</v>
      </c>
      <c r="E409" s="41">
        <v>41900</v>
      </c>
      <c r="F409" s="36">
        <v>41901</v>
      </c>
      <c r="G409" s="37" t="s">
        <v>25</v>
      </c>
      <c r="H409" s="37" t="s">
        <v>437</v>
      </c>
      <c r="I409" s="36">
        <v>41900</v>
      </c>
      <c r="J409" s="37"/>
    </row>
    <row r="410" spans="2:10" ht="29.25" hidden="1" customHeight="1">
      <c r="B410" s="31">
        <v>1</v>
      </c>
      <c r="C410" s="47" t="s">
        <v>468</v>
      </c>
      <c r="D410" s="41">
        <v>41900</v>
      </c>
      <c r="E410" s="41">
        <v>41927</v>
      </c>
      <c r="F410" s="36">
        <v>41908</v>
      </c>
      <c r="G410" s="37" t="s">
        <v>25</v>
      </c>
      <c r="H410" s="37" t="s">
        <v>34</v>
      </c>
      <c r="I410" s="36">
        <v>41934</v>
      </c>
      <c r="J410" s="37"/>
    </row>
    <row r="411" spans="2:10" ht="29.25" hidden="1" customHeight="1">
      <c r="B411" s="31">
        <v>1</v>
      </c>
      <c r="C411" s="33" t="s">
        <v>496</v>
      </c>
      <c r="D411" s="41">
        <v>41934</v>
      </c>
      <c r="E411" s="41">
        <v>41934</v>
      </c>
      <c r="F411" s="36">
        <v>41936</v>
      </c>
      <c r="G411" s="37" t="s">
        <v>24</v>
      </c>
      <c r="H411" s="37" t="s">
        <v>110</v>
      </c>
      <c r="I411" s="36">
        <v>41940</v>
      </c>
      <c r="J411" s="37"/>
    </row>
    <row r="412" spans="2:10" ht="39" hidden="1" customHeight="1">
      <c r="B412" s="31">
        <v>1</v>
      </c>
      <c r="C412" s="33" t="s">
        <v>469</v>
      </c>
      <c r="D412" s="41">
        <v>41905</v>
      </c>
      <c r="E412" s="41">
        <v>41933</v>
      </c>
      <c r="F412" s="36">
        <v>41933</v>
      </c>
      <c r="G412" s="37" t="s">
        <v>25</v>
      </c>
      <c r="H412" s="37" t="s">
        <v>34</v>
      </c>
      <c r="I412" s="36">
        <v>41934</v>
      </c>
      <c r="J412" s="37"/>
    </row>
    <row r="413" spans="2:10" ht="48" hidden="1" customHeight="1">
      <c r="B413" s="31">
        <v>1</v>
      </c>
      <c r="C413" s="33" t="s">
        <v>477</v>
      </c>
      <c r="D413" s="41">
        <v>41906</v>
      </c>
      <c r="E413" s="41">
        <v>41907</v>
      </c>
      <c r="F413" s="36">
        <v>41907</v>
      </c>
      <c r="G413" s="37" t="s">
        <v>25</v>
      </c>
      <c r="H413" s="37" t="s">
        <v>110</v>
      </c>
      <c r="I413" s="36">
        <v>41934</v>
      </c>
      <c r="J413" s="37"/>
    </row>
    <row r="414" spans="2:10" ht="29.25" hidden="1" customHeight="1">
      <c r="B414" s="31">
        <v>1</v>
      </c>
      <c r="C414" s="33" t="s">
        <v>495</v>
      </c>
      <c r="D414" s="41">
        <v>41932</v>
      </c>
      <c r="E414" s="41">
        <v>41936</v>
      </c>
      <c r="F414" s="36">
        <v>41943</v>
      </c>
      <c r="G414" s="37" t="s">
        <v>24</v>
      </c>
      <c r="H414" s="37" t="s">
        <v>209</v>
      </c>
      <c r="I414" s="36">
        <v>41939</v>
      </c>
      <c r="J414" s="37"/>
    </row>
    <row r="415" spans="2:10" ht="29.25" hidden="1" customHeight="1">
      <c r="B415" s="31">
        <v>1</v>
      </c>
      <c r="C415" s="33" t="s">
        <v>497</v>
      </c>
      <c r="D415" s="41">
        <v>41932</v>
      </c>
      <c r="E415" s="41">
        <v>41943</v>
      </c>
      <c r="F415" s="36">
        <v>41950</v>
      </c>
      <c r="G415" s="37" t="s">
        <v>24</v>
      </c>
      <c r="H415" s="37" t="s">
        <v>458</v>
      </c>
      <c r="I415" s="36">
        <v>41955</v>
      </c>
      <c r="J415" s="37"/>
    </row>
    <row r="416" spans="2:10" ht="46.5" hidden="1" customHeight="1">
      <c r="B416" s="31">
        <v>1</v>
      </c>
      <c r="C416" s="33" t="s">
        <v>448</v>
      </c>
      <c r="D416" s="41">
        <v>41907</v>
      </c>
      <c r="E416" s="41">
        <v>41911</v>
      </c>
      <c r="F416" s="36">
        <v>41912</v>
      </c>
      <c r="G416" s="37" t="s">
        <v>26</v>
      </c>
      <c r="H416" s="37" t="s">
        <v>34</v>
      </c>
      <c r="I416" s="36">
        <v>41911</v>
      </c>
      <c r="J416" s="37"/>
    </row>
    <row r="417" spans="2:10" ht="29.25" hidden="1" customHeight="1">
      <c r="B417" s="31">
        <v>1</v>
      </c>
      <c r="C417" s="47" t="s">
        <v>454</v>
      </c>
      <c r="D417" s="41">
        <v>41907</v>
      </c>
      <c r="E417" s="41">
        <v>41911</v>
      </c>
      <c r="F417" s="36">
        <v>41912</v>
      </c>
      <c r="G417" s="37" t="s">
        <v>24</v>
      </c>
      <c r="H417" s="37" t="s">
        <v>34</v>
      </c>
      <c r="I417" s="36">
        <v>41926</v>
      </c>
      <c r="J417" s="37"/>
    </row>
    <row r="418" spans="2:10" ht="29.25" hidden="1" customHeight="1">
      <c r="B418" s="31">
        <v>1</v>
      </c>
      <c r="C418" s="33" t="s">
        <v>460</v>
      </c>
      <c r="D418" s="41">
        <v>41932</v>
      </c>
      <c r="E418" s="41">
        <v>41935</v>
      </c>
      <c r="F418" s="36">
        <v>41936</v>
      </c>
      <c r="G418" s="37" t="s">
        <v>24</v>
      </c>
      <c r="H418" s="37" t="s">
        <v>13</v>
      </c>
      <c r="I418" s="36">
        <v>41955</v>
      </c>
      <c r="J418" s="37"/>
    </row>
    <row r="419" spans="2:10" ht="29.25" hidden="1" customHeight="1">
      <c r="B419" s="31">
        <v>1</v>
      </c>
      <c r="C419" s="33" t="s">
        <v>449</v>
      </c>
      <c r="D419" s="41">
        <v>41911</v>
      </c>
      <c r="E419" s="41">
        <v>41912</v>
      </c>
      <c r="F419" s="36">
        <v>41912</v>
      </c>
      <c r="G419" s="37" t="s">
        <v>26</v>
      </c>
      <c r="H419" s="37" t="s">
        <v>146</v>
      </c>
      <c r="I419" s="36">
        <v>41934</v>
      </c>
      <c r="J419" s="37"/>
    </row>
    <row r="420" spans="2:10" ht="61.5" hidden="1" customHeight="1">
      <c r="B420" s="31">
        <v>1</v>
      </c>
      <c r="C420" s="33" t="s">
        <v>462</v>
      </c>
      <c r="D420" s="41">
        <v>41934</v>
      </c>
      <c r="E420" s="41">
        <v>41938</v>
      </c>
      <c r="F420" s="36">
        <v>41938</v>
      </c>
      <c r="G420" s="37" t="s">
        <v>24</v>
      </c>
      <c r="H420" s="37" t="s">
        <v>209</v>
      </c>
      <c r="I420" s="36">
        <v>41940</v>
      </c>
      <c r="J420" s="37"/>
    </row>
    <row r="421" spans="2:10" ht="57" hidden="1" customHeight="1">
      <c r="B421" s="31">
        <v>1</v>
      </c>
      <c r="C421" s="53" t="s">
        <v>453</v>
      </c>
      <c r="D421" s="41">
        <v>41911</v>
      </c>
      <c r="E421" s="41">
        <v>41912</v>
      </c>
      <c r="F421" s="36">
        <v>41927</v>
      </c>
      <c r="G421" s="37" t="s">
        <v>25</v>
      </c>
      <c r="H421" s="37" t="s">
        <v>34</v>
      </c>
      <c r="I421" s="36">
        <v>41926</v>
      </c>
      <c r="J421" s="37"/>
    </row>
    <row r="422" spans="2:10" ht="43.5" hidden="1" customHeight="1">
      <c r="B422" s="31">
        <v>1</v>
      </c>
      <c r="C422" s="33" t="s">
        <v>451</v>
      </c>
      <c r="D422" s="41">
        <v>41924</v>
      </c>
      <c r="E422" s="41">
        <v>41929</v>
      </c>
      <c r="F422" s="36">
        <v>41936</v>
      </c>
      <c r="G422" s="37" t="s">
        <v>25</v>
      </c>
      <c r="H422" s="37" t="s">
        <v>110</v>
      </c>
      <c r="I422" s="36">
        <v>41934</v>
      </c>
      <c r="J422" s="37"/>
    </row>
    <row r="423" spans="2:10" ht="59.25" hidden="1" customHeight="1">
      <c r="B423" s="31">
        <v>1</v>
      </c>
      <c r="C423" s="33" t="s">
        <v>452</v>
      </c>
      <c r="D423" s="41">
        <v>41926</v>
      </c>
      <c r="E423" s="41">
        <v>41926</v>
      </c>
      <c r="F423" s="36">
        <v>41927</v>
      </c>
      <c r="G423" s="37" t="s">
        <v>25</v>
      </c>
      <c r="H423" s="37" t="s">
        <v>34</v>
      </c>
      <c r="I423" s="36">
        <v>41926</v>
      </c>
      <c r="J423" s="37"/>
    </row>
    <row r="424" spans="2:10" ht="54.75" hidden="1" customHeight="1">
      <c r="B424" s="31">
        <v>1</v>
      </c>
      <c r="C424" s="33" t="s">
        <v>457</v>
      </c>
      <c r="D424" s="41">
        <v>41926</v>
      </c>
      <c r="E424" s="41">
        <v>41926</v>
      </c>
      <c r="F424" s="36">
        <v>41927</v>
      </c>
      <c r="G424" s="37" t="s">
        <v>25</v>
      </c>
      <c r="H424" s="37" t="s">
        <v>34</v>
      </c>
      <c r="I424" s="36">
        <v>41928</v>
      </c>
      <c r="J424" s="37"/>
    </row>
    <row r="425" spans="2:10" ht="39.75" hidden="1" customHeight="1">
      <c r="B425" s="31">
        <v>1</v>
      </c>
      <c r="C425" s="33" t="s">
        <v>471</v>
      </c>
      <c r="D425" s="41">
        <v>41926</v>
      </c>
      <c r="E425" s="41">
        <v>41971</v>
      </c>
      <c r="F425" s="36">
        <v>41999</v>
      </c>
      <c r="G425" s="37" t="s">
        <v>25</v>
      </c>
      <c r="H425" s="37" t="s">
        <v>34</v>
      </c>
      <c r="I425" s="36">
        <v>41934</v>
      </c>
      <c r="J425" s="37"/>
    </row>
    <row r="426" spans="2:10" ht="29.25" hidden="1" customHeight="1">
      <c r="B426" s="31">
        <v>1</v>
      </c>
      <c r="C426" s="33" t="s">
        <v>498</v>
      </c>
      <c r="D426" s="41">
        <v>41932</v>
      </c>
      <c r="E426" s="41">
        <v>41943</v>
      </c>
      <c r="F426" s="36">
        <v>41950</v>
      </c>
      <c r="G426" s="37" t="s">
        <v>24</v>
      </c>
      <c r="H426" s="37" t="s">
        <v>122</v>
      </c>
      <c r="I426" s="36">
        <v>41955</v>
      </c>
      <c r="J426" s="37"/>
    </row>
    <row r="427" spans="2:10" ht="54" hidden="1" customHeight="1">
      <c r="B427" s="31">
        <v>1</v>
      </c>
      <c r="C427" s="33" t="s">
        <v>478</v>
      </c>
      <c r="D427" s="41">
        <v>41927</v>
      </c>
      <c r="E427" s="41">
        <v>41929</v>
      </c>
      <c r="F427" s="36">
        <v>41929</v>
      </c>
      <c r="G427" s="37" t="s">
        <v>25</v>
      </c>
      <c r="H427" s="37" t="s">
        <v>64</v>
      </c>
      <c r="I427" s="36">
        <v>41934</v>
      </c>
      <c r="J427" s="37"/>
    </row>
    <row r="428" spans="2:10" ht="29.25" hidden="1" customHeight="1">
      <c r="B428" s="31">
        <v>1</v>
      </c>
      <c r="C428" s="33" t="s">
        <v>463</v>
      </c>
      <c r="D428" s="41">
        <v>41934</v>
      </c>
      <c r="E428" s="41">
        <v>41945</v>
      </c>
      <c r="F428" s="36">
        <v>41945</v>
      </c>
      <c r="G428" s="37" t="s">
        <v>24</v>
      </c>
      <c r="H428" s="37" t="s">
        <v>209</v>
      </c>
      <c r="I428" s="36">
        <v>41955</v>
      </c>
      <c r="J428" s="37"/>
    </row>
    <row r="429" spans="2:10" ht="29.25" hidden="1" customHeight="1">
      <c r="B429" s="31">
        <v>1</v>
      </c>
      <c r="C429" s="33" t="s">
        <v>479</v>
      </c>
      <c r="D429" s="41">
        <v>41928</v>
      </c>
      <c r="E429" s="41">
        <v>41934</v>
      </c>
      <c r="F429" s="36">
        <v>42278</v>
      </c>
      <c r="G429" s="37" t="s">
        <v>25</v>
      </c>
      <c r="H429" s="37" t="s">
        <v>356</v>
      </c>
      <c r="I429" s="36">
        <v>41934</v>
      </c>
      <c r="J429" s="37"/>
    </row>
    <row r="430" spans="2:10" ht="45" hidden="1" customHeight="1">
      <c r="B430" s="31">
        <v>1</v>
      </c>
      <c r="C430" s="47" t="s">
        <v>561</v>
      </c>
      <c r="D430" s="47"/>
      <c r="E430" s="41">
        <v>41927</v>
      </c>
      <c r="F430" s="36">
        <v>41927</v>
      </c>
      <c r="G430" s="37" t="s">
        <v>25</v>
      </c>
      <c r="H430" s="37" t="s">
        <v>34</v>
      </c>
      <c r="I430" s="36">
        <v>41975</v>
      </c>
      <c r="J430" s="37"/>
    </row>
    <row r="431" spans="2:10" ht="48.75" hidden="1" customHeight="1">
      <c r="B431" s="31">
        <v>1</v>
      </c>
      <c r="C431" s="33" t="s">
        <v>529</v>
      </c>
      <c r="D431" s="41"/>
      <c r="E431" s="41">
        <v>41928</v>
      </c>
      <c r="F431" s="36">
        <v>41906</v>
      </c>
      <c r="G431" s="37" t="s">
        <v>25</v>
      </c>
      <c r="H431" s="37" t="s">
        <v>34</v>
      </c>
      <c r="I431" s="36">
        <v>41950</v>
      </c>
      <c r="J431" s="37"/>
    </row>
    <row r="432" spans="2:10" ht="29.25" hidden="1" customHeight="1">
      <c r="B432" s="31">
        <v>1</v>
      </c>
      <c r="C432" s="33" t="s">
        <v>489</v>
      </c>
      <c r="D432" s="41">
        <v>41906</v>
      </c>
      <c r="E432" s="41">
        <v>41926</v>
      </c>
      <c r="F432" s="36">
        <v>41950</v>
      </c>
      <c r="G432" s="37" t="s">
        <v>25</v>
      </c>
      <c r="H432" s="37" t="s">
        <v>34</v>
      </c>
      <c r="I432" s="36">
        <v>41935</v>
      </c>
      <c r="J432" s="37"/>
    </row>
    <row r="433" spans="2:10" ht="29.25" hidden="1" customHeight="1">
      <c r="B433" s="31">
        <v>1</v>
      </c>
      <c r="C433" s="33" t="s">
        <v>472</v>
      </c>
      <c r="D433" s="41">
        <v>41929</v>
      </c>
      <c r="E433" s="41">
        <v>41933</v>
      </c>
      <c r="F433" s="36">
        <v>41936</v>
      </c>
      <c r="G433" s="37" t="s">
        <v>25</v>
      </c>
      <c r="H433" s="37" t="s">
        <v>34</v>
      </c>
      <c r="I433" s="36">
        <v>41934</v>
      </c>
      <c r="J433" s="37"/>
    </row>
    <row r="434" spans="2:10" ht="75" hidden="1" customHeight="1">
      <c r="B434" s="31">
        <v>1</v>
      </c>
      <c r="C434" s="33" t="s">
        <v>473</v>
      </c>
      <c r="D434" s="41">
        <v>41929</v>
      </c>
      <c r="E434" s="41">
        <v>41933</v>
      </c>
      <c r="F434" s="36">
        <v>41933</v>
      </c>
      <c r="G434" s="37" t="s">
        <v>25</v>
      </c>
      <c r="H434" s="37" t="s">
        <v>34</v>
      </c>
      <c r="I434" s="36">
        <v>41934</v>
      </c>
      <c r="J434" s="37"/>
    </row>
    <row r="435" spans="2:10" ht="36.75" hidden="1" customHeight="1">
      <c r="B435" s="31">
        <v>1</v>
      </c>
      <c r="C435" s="47" t="s">
        <v>483</v>
      </c>
      <c r="D435" s="41">
        <v>41907</v>
      </c>
      <c r="E435" s="41">
        <v>41927</v>
      </c>
      <c r="F435" s="36">
        <v>41925</v>
      </c>
      <c r="G435" s="37" t="s">
        <v>25</v>
      </c>
      <c r="H435" s="37" t="s">
        <v>470</v>
      </c>
      <c r="I435" s="36">
        <v>41935</v>
      </c>
      <c r="J435" s="37"/>
    </row>
    <row r="436" spans="2:10" ht="29.25" hidden="1" customHeight="1">
      <c r="B436" s="31">
        <v>1</v>
      </c>
      <c r="C436" s="33" t="s">
        <v>514</v>
      </c>
      <c r="D436" s="41">
        <v>41911</v>
      </c>
      <c r="E436" s="41">
        <v>41934</v>
      </c>
      <c r="F436" s="36">
        <v>41934</v>
      </c>
      <c r="G436" s="37" t="s">
        <v>25</v>
      </c>
      <c r="H436" s="37" t="s">
        <v>34</v>
      </c>
      <c r="I436" s="36">
        <v>41947</v>
      </c>
      <c r="J436" s="37"/>
    </row>
    <row r="437" spans="2:10" ht="44.25" hidden="1" customHeight="1">
      <c r="B437" s="31">
        <v>1</v>
      </c>
      <c r="C437" s="33" t="s">
        <v>488</v>
      </c>
      <c r="D437" s="41">
        <v>41928</v>
      </c>
      <c r="E437" s="41">
        <v>41928</v>
      </c>
      <c r="F437" s="36">
        <v>41933</v>
      </c>
      <c r="G437" s="37" t="s">
        <v>25</v>
      </c>
      <c r="H437" s="37" t="s">
        <v>34</v>
      </c>
      <c r="I437" s="36">
        <v>41935</v>
      </c>
      <c r="J437" s="37"/>
    </row>
    <row r="438" spans="2:10" ht="52.5" hidden="1" customHeight="1">
      <c r="B438" s="31">
        <v>1</v>
      </c>
      <c r="C438" s="33" t="s">
        <v>461</v>
      </c>
      <c r="D438" s="41">
        <v>41932</v>
      </c>
      <c r="E438" s="41">
        <v>41932</v>
      </c>
      <c r="F438" s="36">
        <v>41936</v>
      </c>
      <c r="G438" s="37" t="s">
        <v>24</v>
      </c>
      <c r="H438" s="37" t="s">
        <v>34</v>
      </c>
      <c r="I438" s="36">
        <v>41933</v>
      </c>
      <c r="J438" s="37"/>
    </row>
    <row r="439" spans="2:10" ht="29.25" hidden="1" customHeight="1">
      <c r="B439" s="31">
        <v>1</v>
      </c>
      <c r="C439" s="33" t="s">
        <v>540</v>
      </c>
      <c r="D439" s="41">
        <v>41928</v>
      </c>
      <c r="E439" s="41">
        <v>41929</v>
      </c>
      <c r="F439" s="36">
        <v>41935</v>
      </c>
      <c r="G439" s="37" t="s">
        <v>25</v>
      </c>
      <c r="H439" s="37" t="s">
        <v>34</v>
      </c>
      <c r="I439" s="36">
        <v>41957</v>
      </c>
      <c r="J439" s="37"/>
    </row>
    <row r="440" spans="2:10" ht="29.25" hidden="1" customHeight="1">
      <c r="B440" s="31">
        <v>1</v>
      </c>
      <c r="C440" s="33" t="s">
        <v>474</v>
      </c>
      <c r="D440" s="41">
        <v>41933</v>
      </c>
      <c r="E440" s="41">
        <v>41934</v>
      </c>
      <c r="F440" s="36">
        <v>41936</v>
      </c>
      <c r="G440" s="37" t="s">
        <v>25</v>
      </c>
      <c r="H440" s="37" t="s">
        <v>34</v>
      </c>
      <c r="I440" s="36">
        <v>41934</v>
      </c>
      <c r="J440" s="37"/>
    </row>
    <row r="441" spans="2:10" ht="29.25" hidden="1" customHeight="1">
      <c r="B441" s="31">
        <v>1</v>
      </c>
      <c r="C441" s="33" t="s">
        <v>487</v>
      </c>
      <c r="D441" s="41">
        <v>41934</v>
      </c>
      <c r="E441" s="41">
        <v>41935</v>
      </c>
      <c r="F441" s="36">
        <v>41935</v>
      </c>
      <c r="G441" s="37" t="s">
        <v>25</v>
      </c>
      <c r="H441" s="37" t="s">
        <v>34</v>
      </c>
      <c r="I441" s="36">
        <v>41935</v>
      </c>
      <c r="J441" s="37"/>
    </row>
    <row r="442" spans="2:10" ht="29.25" hidden="1" customHeight="1">
      <c r="B442" s="31">
        <v>1</v>
      </c>
      <c r="C442" s="33" t="s">
        <v>475</v>
      </c>
      <c r="D442" s="41">
        <v>41934</v>
      </c>
      <c r="E442" s="41">
        <v>41934</v>
      </c>
      <c r="F442" s="36">
        <v>41936</v>
      </c>
      <c r="G442" s="37" t="s">
        <v>25</v>
      </c>
      <c r="H442" s="37" t="s">
        <v>34</v>
      </c>
      <c r="I442" s="36">
        <v>41934</v>
      </c>
      <c r="J442" s="37"/>
    </row>
    <row r="443" spans="2:10" ht="80.25" hidden="1" customHeight="1">
      <c r="B443" s="31">
        <v>1</v>
      </c>
      <c r="C443" s="33" t="s">
        <v>499</v>
      </c>
      <c r="D443" s="41">
        <v>41934</v>
      </c>
      <c r="E443" s="41">
        <v>41945</v>
      </c>
      <c r="F443" s="36">
        <v>41940</v>
      </c>
      <c r="G443" s="37" t="s">
        <v>25</v>
      </c>
      <c r="H443" s="37" t="s">
        <v>209</v>
      </c>
      <c r="I443" s="36">
        <v>41955</v>
      </c>
      <c r="J443" s="37"/>
    </row>
    <row r="444" spans="2:10" ht="29.25" hidden="1" customHeight="1">
      <c r="B444" s="31">
        <v>1</v>
      </c>
      <c r="C444" s="33" t="s">
        <v>620</v>
      </c>
      <c r="D444" s="41">
        <v>41968</v>
      </c>
      <c r="E444" s="41">
        <v>41968</v>
      </c>
      <c r="F444" s="36">
        <v>41968</v>
      </c>
      <c r="G444" s="37" t="s">
        <v>24</v>
      </c>
      <c r="H444" s="37" t="s">
        <v>13</v>
      </c>
      <c r="I444" s="36">
        <v>42017</v>
      </c>
      <c r="J444" s="37"/>
    </row>
    <row r="445" spans="2:10" ht="29.25" hidden="1" customHeight="1">
      <c r="B445" s="31">
        <v>1</v>
      </c>
      <c r="C445" s="33" t="s">
        <v>482</v>
      </c>
      <c r="D445" s="41">
        <v>41934</v>
      </c>
      <c r="E445" s="41">
        <v>41935</v>
      </c>
      <c r="F445" s="36">
        <v>41936</v>
      </c>
      <c r="G445" s="37" t="s">
        <v>25</v>
      </c>
      <c r="H445" s="37" t="s">
        <v>470</v>
      </c>
      <c r="I445" s="36">
        <v>41935</v>
      </c>
      <c r="J445" s="37"/>
    </row>
    <row r="446" spans="2:10" ht="29.25" hidden="1" customHeight="1">
      <c r="B446" s="31">
        <v>1</v>
      </c>
      <c r="C446" s="33" t="s">
        <v>596</v>
      </c>
      <c r="D446" s="41">
        <v>41927</v>
      </c>
      <c r="E446" s="41">
        <v>41984</v>
      </c>
      <c r="F446" s="36">
        <v>41984</v>
      </c>
      <c r="G446" s="37" t="s">
        <v>26</v>
      </c>
      <c r="H446" s="37" t="s">
        <v>185</v>
      </c>
      <c r="I446" s="36">
        <v>41992</v>
      </c>
      <c r="J446" s="37"/>
    </row>
    <row r="447" spans="2:10" ht="29.25" hidden="1" customHeight="1">
      <c r="B447" s="31">
        <v>1</v>
      </c>
      <c r="C447" s="33" t="s">
        <v>547</v>
      </c>
      <c r="D447" s="41">
        <v>41907</v>
      </c>
      <c r="E447" s="41">
        <v>41943</v>
      </c>
      <c r="F447" s="36">
        <v>42185</v>
      </c>
      <c r="G447" s="37" t="s">
        <v>26</v>
      </c>
      <c r="H447" s="37" t="s">
        <v>34</v>
      </c>
      <c r="I447" s="36">
        <v>41968</v>
      </c>
      <c r="J447" s="37"/>
    </row>
    <row r="448" spans="2:10" ht="29.25" hidden="1" customHeight="1">
      <c r="B448" s="31">
        <v>1</v>
      </c>
      <c r="C448" s="33" t="s">
        <v>481</v>
      </c>
      <c r="D448" s="41">
        <v>41934</v>
      </c>
      <c r="E448" s="41">
        <v>41936</v>
      </c>
      <c r="F448" s="36">
        <v>41943</v>
      </c>
      <c r="G448" s="37" t="s">
        <v>26</v>
      </c>
      <c r="H448" s="37" t="s">
        <v>110</v>
      </c>
      <c r="I448" s="36">
        <v>41955</v>
      </c>
      <c r="J448" s="37"/>
    </row>
    <row r="449" spans="2:10" ht="29.25" hidden="1" customHeight="1">
      <c r="B449" s="31">
        <v>1</v>
      </c>
      <c r="C449" s="33" t="s">
        <v>486</v>
      </c>
      <c r="D449" s="41">
        <v>41934</v>
      </c>
      <c r="E449" s="41">
        <v>41940</v>
      </c>
      <c r="F449" s="36">
        <v>41974</v>
      </c>
      <c r="G449" s="37" t="s">
        <v>25</v>
      </c>
      <c r="H449" s="37" t="s">
        <v>34</v>
      </c>
      <c r="I449" s="36">
        <v>41935</v>
      </c>
      <c r="J449" s="37"/>
    </row>
    <row r="450" spans="2:10" ht="29.25" hidden="1" customHeight="1">
      <c r="B450" s="31">
        <v>1</v>
      </c>
      <c r="C450" s="33" t="s">
        <v>548</v>
      </c>
      <c r="D450" s="41">
        <v>41935</v>
      </c>
      <c r="E450" s="41">
        <v>41954</v>
      </c>
      <c r="F450" s="36">
        <v>41942</v>
      </c>
      <c r="G450" s="37" t="s">
        <v>24</v>
      </c>
      <c r="H450" s="37" t="s">
        <v>34</v>
      </c>
      <c r="I450" s="36">
        <v>41968</v>
      </c>
      <c r="J450" s="37"/>
    </row>
    <row r="451" spans="2:10" ht="29.25" hidden="1" customHeight="1">
      <c r="B451" s="31">
        <v>1</v>
      </c>
      <c r="C451" s="33" t="s">
        <v>485</v>
      </c>
      <c r="D451" s="41">
        <v>41935</v>
      </c>
      <c r="E451" s="41">
        <v>41940</v>
      </c>
      <c r="F451" s="36">
        <v>41940</v>
      </c>
      <c r="G451" s="37" t="s">
        <v>25</v>
      </c>
      <c r="H451" s="37" t="s">
        <v>34</v>
      </c>
      <c r="I451" s="36">
        <v>41935</v>
      </c>
      <c r="J451" s="37"/>
    </row>
    <row r="452" spans="2:10" ht="57" hidden="1" customHeight="1">
      <c r="B452" s="31">
        <v>1</v>
      </c>
      <c r="C452" s="33" t="s">
        <v>484</v>
      </c>
      <c r="D452" s="41">
        <v>41935</v>
      </c>
      <c r="E452" s="41">
        <v>41940</v>
      </c>
      <c r="F452" s="36">
        <v>41943</v>
      </c>
      <c r="G452" s="37" t="s">
        <v>25</v>
      </c>
      <c r="H452" s="37" t="s">
        <v>34</v>
      </c>
      <c r="I452" s="36">
        <v>41935</v>
      </c>
      <c r="J452" s="37"/>
    </row>
    <row r="453" spans="2:10" ht="58.5" hidden="1" customHeight="1">
      <c r="B453" s="31">
        <v>1</v>
      </c>
      <c r="C453" s="33" t="s">
        <v>535</v>
      </c>
      <c r="D453" s="41">
        <v>41936</v>
      </c>
      <c r="E453" s="41">
        <v>41945</v>
      </c>
      <c r="F453" s="36">
        <v>41950</v>
      </c>
      <c r="G453" s="37" t="s">
        <v>24</v>
      </c>
      <c r="H453" s="37" t="s">
        <v>491</v>
      </c>
      <c r="I453" s="36">
        <v>41956</v>
      </c>
      <c r="J453" s="37"/>
    </row>
    <row r="454" spans="2:10" ht="36.75" hidden="1" customHeight="1">
      <c r="B454" s="31">
        <v>1</v>
      </c>
      <c r="C454" s="33" t="s">
        <v>515</v>
      </c>
      <c r="D454" s="41">
        <v>41936</v>
      </c>
      <c r="E454" s="41">
        <v>41938</v>
      </c>
      <c r="F454" s="36">
        <v>41938</v>
      </c>
      <c r="G454" s="37" t="s">
        <v>24</v>
      </c>
      <c r="H454" s="37" t="s">
        <v>34</v>
      </c>
      <c r="I454" s="36">
        <v>41947</v>
      </c>
      <c r="J454" s="37"/>
    </row>
    <row r="455" spans="2:10" ht="68.25" hidden="1" customHeight="1">
      <c r="B455" s="31">
        <v>1</v>
      </c>
      <c r="C455" s="33" t="s">
        <v>492</v>
      </c>
      <c r="D455" s="41">
        <v>41936</v>
      </c>
      <c r="E455" s="41">
        <v>41939</v>
      </c>
      <c r="F455" s="36">
        <v>41939</v>
      </c>
      <c r="G455" s="37" t="s">
        <v>26</v>
      </c>
      <c r="H455" s="37" t="s">
        <v>146</v>
      </c>
      <c r="I455" s="36">
        <v>41940</v>
      </c>
      <c r="J455" s="37"/>
    </row>
    <row r="456" spans="2:10" ht="29.25" hidden="1" customHeight="1">
      <c r="B456" s="31">
        <v>1</v>
      </c>
      <c r="C456" s="33" t="s">
        <v>500</v>
      </c>
      <c r="D456" s="41">
        <v>41936</v>
      </c>
      <c r="E456" s="41">
        <v>41936</v>
      </c>
      <c r="F456" s="36">
        <v>41940</v>
      </c>
      <c r="G456" s="37" t="s">
        <v>24</v>
      </c>
      <c r="H456" s="37" t="s">
        <v>34</v>
      </c>
      <c r="I456" s="36">
        <v>41940</v>
      </c>
      <c r="J456" s="37"/>
    </row>
    <row r="457" spans="2:10" ht="29.25" hidden="1" customHeight="1">
      <c r="B457" s="31">
        <v>1</v>
      </c>
      <c r="C457" s="33" t="s">
        <v>493</v>
      </c>
      <c r="D457" s="41">
        <v>41939</v>
      </c>
      <c r="E457" s="41">
        <v>41940</v>
      </c>
      <c r="F457" s="36">
        <v>41940</v>
      </c>
      <c r="G457" s="37" t="s">
        <v>25</v>
      </c>
      <c r="H457" s="37" t="s">
        <v>34</v>
      </c>
      <c r="I457" s="36">
        <v>41950</v>
      </c>
      <c r="J457" s="37"/>
    </row>
    <row r="458" spans="2:10" ht="44.25" hidden="1" customHeight="1">
      <c r="B458" s="31">
        <v>1</v>
      </c>
      <c r="C458" s="33" t="s">
        <v>572</v>
      </c>
      <c r="D458" s="41">
        <v>41939</v>
      </c>
      <c r="E458" s="41">
        <v>41970</v>
      </c>
      <c r="F458" s="36">
        <v>41971</v>
      </c>
      <c r="G458" s="37" t="s">
        <v>25</v>
      </c>
      <c r="H458" s="37" t="s">
        <v>89</v>
      </c>
      <c r="I458" s="36">
        <v>41982</v>
      </c>
      <c r="J458" s="37"/>
    </row>
    <row r="459" spans="2:10" ht="29.25" hidden="1" customHeight="1">
      <c r="B459" s="31">
        <v>1</v>
      </c>
      <c r="C459" s="33" t="s">
        <v>522</v>
      </c>
      <c r="D459" s="41">
        <v>41939</v>
      </c>
      <c r="E459" s="41">
        <v>41939</v>
      </c>
      <c r="F459" s="36">
        <v>41941</v>
      </c>
      <c r="G459" s="37" t="s">
        <v>25</v>
      </c>
      <c r="H459" s="37" t="s">
        <v>13</v>
      </c>
      <c r="I459" s="36">
        <v>41948</v>
      </c>
      <c r="J459" s="37"/>
    </row>
    <row r="460" spans="2:10" ht="29.25" hidden="1" customHeight="1">
      <c r="B460" s="31">
        <v>1</v>
      </c>
      <c r="C460" s="33" t="s">
        <v>516</v>
      </c>
      <c r="D460" s="41">
        <v>41939</v>
      </c>
      <c r="E460" s="41">
        <v>41940</v>
      </c>
      <c r="F460" s="36">
        <v>41943</v>
      </c>
      <c r="G460" s="37" t="s">
        <v>25</v>
      </c>
      <c r="H460" s="37" t="s">
        <v>34</v>
      </c>
      <c r="I460" s="36">
        <v>41947</v>
      </c>
      <c r="J460" s="37"/>
    </row>
    <row r="461" spans="2:10" ht="81.75" hidden="1" customHeight="1">
      <c r="B461" s="31">
        <v>1</v>
      </c>
      <c r="C461" s="33" t="s">
        <v>528</v>
      </c>
      <c r="D461" s="41">
        <v>41941</v>
      </c>
      <c r="E461" s="41">
        <v>41948</v>
      </c>
      <c r="F461" s="36">
        <v>41949</v>
      </c>
      <c r="G461" s="37" t="s">
        <v>26</v>
      </c>
      <c r="H461" s="37" t="s">
        <v>34</v>
      </c>
      <c r="I461" s="36">
        <v>41950</v>
      </c>
      <c r="J461" s="37"/>
    </row>
    <row r="462" spans="2:10" ht="52.5" hidden="1" customHeight="1">
      <c r="B462" s="31">
        <v>1</v>
      </c>
      <c r="C462" s="33" t="s">
        <v>517</v>
      </c>
      <c r="D462" s="41">
        <v>41941</v>
      </c>
      <c r="E462" s="41">
        <v>41941</v>
      </c>
      <c r="F462" s="36">
        <v>41947</v>
      </c>
      <c r="G462" s="37" t="s">
        <v>25</v>
      </c>
      <c r="H462" s="37" t="s">
        <v>34</v>
      </c>
      <c r="I462" s="36">
        <v>41947</v>
      </c>
      <c r="J462" s="37"/>
    </row>
    <row r="463" spans="2:10" ht="29.25" hidden="1" customHeight="1">
      <c r="B463" s="31">
        <v>1</v>
      </c>
      <c r="C463" s="33" t="s">
        <v>501</v>
      </c>
      <c r="D463" s="41">
        <v>41941</v>
      </c>
      <c r="E463" s="41">
        <v>41941</v>
      </c>
      <c r="F463" s="36">
        <v>41942</v>
      </c>
      <c r="G463" s="37" t="s">
        <v>25</v>
      </c>
      <c r="H463" s="37" t="s">
        <v>458</v>
      </c>
      <c r="I463" s="36">
        <v>41955</v>
      </c>
      <c r="J463" s="37"/>
    </row>
    <row r="464" spans="2:10" ht="42" hidden="1" customHeight="1">
      <c r="B464" s="31">
        <v>1</v>
      </c>
      <c r="C464" s="33" t="s">
        <v>502</v>
      </c>
      <c r="D464" s="41">
        <v>41941</v>
      </c>
      <c r="E464" s="41">
        <v>41945</v>
      </c>
      <c r="F464" s="36">
        <v>41945</v>
      </c>
      <c r="G464" s="37" t="s">
        <v>24</v>
      </c>
      <c r="H464" s="37" t="s">
        <v>209</v>
      </c>
      <c r="I464" s="36">
        <v>41955</v>
      </c>
      <c r="J464" s="37"/>
    </row>
    <row r="465" spans="2:10" ht="51.75" hidden="1" customHeight="1">
      <c r="B465" s="31">
        <v>1</v>
      </c>
      <c r="C465" s="33" t="s">
        <v>531</v>
      </c>
      <c r="D465" s="41">
        <v>41941</v>
      </c>
      <c r="E465" s="41">
        <v>41942</v>
      </c>
      <c r="F465" s="36">
        <v>41942</v>
      </c>
      <c r="G465" s="37" t="s">
        <v>25</v>
      </c>
      <c r="H465" s="37" t="s">
        <v>89</v>
      </c>
      <c r="I465" s="36">
        <v>41955</v>
      </c>
      <c r="J465" s="37"/>
    </row>
    <row r="466" spans="2:10" ht="36" hidden="1" customHeight="1">
      <c r="B466" s="31">
        <v>1</v>
      </c>
      <c r="C466" s="33" t="s">
        <v>527</v>
      </c>
      <c r="D466" s="41">
        <v>41941</v>
      </c>
      <c r="E466" s="41">
        <v>41942</v>
      </c>
      <c r="F466" s="36">
        <v>41943</v>
      </c>
      <c r="G466" s="37" t="s">
        <v>25</v>
      </c>
      <c r="H466" s="37" t="s">
        <v>470</v>
      </c>
      <c r="I466" s="36">
        <v>41950</v>
      </c>
      <c r="J466" s="37"/>
    </row>
    <row r="467" spans="2:10" ht="46.5" hidden="1" customHeight="1">
      <c r="B467" s="31">
        <v>1</v>
      </c>
      <c r="C467" s="33" t="s">
        <v>503</v>
      </c>
      <c r="D467" s="41">
        <v>41941</v>
      </c>
      <c r="E467" s="41">
        <v>41946</v>
      </c>
      <c r="F467" s="36">
        <v>41947</v>
      </c>
      <c r="G467" s="37" t="s">
        <v>25</v>
      </c>
      <c r="H467" s="37" t="s">
        <v>122</v>
      </c>
      <c r="I467" s="36">
        <v>41968</v>
      </c>
      <c r="J467" s="37"/>
    </row>
    <row r="468" spans="2:10" ht="29.25" hidden="1" customHeight="1">
      <c r="B468" s="31">
        <v>1</v>
      </c>
      <c r="C468" s="33" t="s">
        <v>532</v>
      </c>
      <c r="D468" s="41">
        <v>41941</v>
      </c>
      <c r="E468" s="41">
        <v>41945</v>
      </c>
      <c r="F468" s="36">
        <v>41945</v>
      </c>
      <c r="G468" s="37" t="s">
        <v>24</v>
      </c>
      <c r="H468" s="37" t="s">
        <v>209</v>
      </c>
      <c r="I468" s="36">
        <v>41955</v>
      </c>
      <c r="J468" s="37"/>
    </row>
    <row r="469" spans="2:10" ht="44.25" hidden="1" customHeight="1">
      <c r="B469" s="31">
        <v>1</v>
      </c>
      <c r="C469" s="33" t="s">
        <v>504</v>
      </c>
      <c r="D469" s="41">
        <v>41942</v>
      </c>
      <c r="E469" s="41">
        <v>41945</v>
      </c>
      <c r="F469" s="36">
        <v>41945</v>
      </c>
      <c r="G469" s="37" t="s">
        <v>24</v>
      </c>
      <c r="H469" s="37" t="s">
        <v>209</v>
      </c>
      <c r="I469" s="36">
        <v>41955</v>
      </c>
      <c r="J469" s="37"/>
    </row>
    <row r="470" spans="2:10" ht="41.25" hidden="1" customHeight="1">
      <c r="B470" s="31">
        <v>1</v>
      </c>
      <c r="C470" s="33" t="s">
        <v>505</v>
      </c>
      <c r="D470" s="41">
        <v>41942</v>
      </c>
      <c r="E470" s="41">
        <v>41943</v>
      </c>
      <c r="F470" s="36">
        <v>41947</v>
      </c>
      <c r="G470" s="37" t="s">
        <v>24</v>
      </c>
      <c r="H470" s="37" t="s">
        <v>67</v>
      </c>
      <c r="I470" s="36">
        <v>41955</v>
      </c>
      <c r="J470" s="37"/>
    </row>
    <row r="471" spans="2:10" ht="29.25" hidden="1" customHeight="1">
      <c r="B471" s="31">
        <v>1</v>
      </c>
      <c r="C471" s="33" t="s">
        <v>518</v>
      </c>
      <c r="D471" s="41">
        <v>41943</v>
      </c>
      <c r="E471" s="41">
        <v>41943</v>
      </c>
      <c r="F471" s="36">
        <v>41947</v>
      </c>
      <c r="G471" s="37" t="s">
        <v>25</v>
      </c>
      <c r="H471" s="37" t="s">
        <v>34</v>
      </c>
      <c r="I471" s="36">
        <v>41947</v>
      </c>
      <c r="J471" s="37"/>
    </row>
    <row r="472" spans="2:10" ht="36.75" hidden="1" customHeight="1">
      <c r="B472" s="31">
        <v>1</v>
      </c>
      <c r="C472" s="33" t="s">
        <v>506</v>
      </c>
      <c r="D472" s="41">
        <v>41943</v>
      </c>
      <c r="E472" s="41">
        <v>41947</v>
      </c>
      <c r="F472" s="36">
        <v>41947</v>
      </c>
      <c r="G472" s="37" t="s">
        <v>25</v>
      </c>
      <c r="H472" s="37" t="s">
        <v>34</v>
      </c>
      <c r="I472" s="36">
        <v>41947</v>
      </c>
      <c r="J472" s="37"/>
    </row>
    <row r="473" spans="2:10" ht="40.5" hidden="1" customHeight="1">
      <c r="B473" s="31">
        <v>1</v>
      </c>
      <c r="C473" s="33" t="s">
        <v>507</v>
      </c>
      <c r="D473" s="41">
        <v>41943</v>
      </c>
      <c r="E473" s="41">
        <v>41964</v>
      </c>
      <c r="F473" s="36">
        <v>41973</v>
      </c>
      <c r="G473" s="37" t="s">
        <v>24</v>
      </c>
      <c r="H473" s="37" t="s">
        <v>494</v>
      </c>
      <c r="I473" s="36">
        <v>41955</v>
      </c>
      <c r="J473" s="37"/>
    </row>
    <row r="474" spans="2:10" ht="29.25" hidden="1" customHeight="1">
      <c r="B474" s="31">
        <v>1</v>
      </c>
      <c r="C474" s="33" t="s">
        <v>508</v>
      </c>
      <c r="D474" s="41">
        <v>41944</v>
      </c>
      <c r="E474" s="41">
        <v>41946</v>
      </c>
      <c r="F474" s="36">
        <v>41950</v>
      </c>
      <c r="G474" s="37" t="s">
        <v>25</v>
      </c>
      <c r="H474" s="37" t="s">
        <v>89</v>
      </c>
      <c r="I474" s="36">
        <v>41955</v>
      </c>
      <c r="J474" s="37"/>
    </row>
    <row r="475" spans="2:10" ht="40.5" hidden="1" customHeight="1">
      <c r="B475" s="31">
        <v>1</v>
      </c>
      <c r="C475" s="33" t="s">
        <v>526</v>
      </c>
      <c r="D475" s="41">
        <v>41946</v>
      </c>
      <c r="E475" s="41">
        <v>41947</v>
      </c>
      <c r="F475" s="36">
        <v>41949</v>
      </c>
      <c r="G475" s="37" t="s">
        <v>25</v>
      </c>
      <c r="H475" s="37" t="s">
        <v>34</v>
      </c>
      <c r="I475" s="36">
        <v>41950</v>
      </c>
      <c r="J475" s="37"/>
    </row>
    <row r="476" spans="2:10" ht="71.25" hidden="1" customHeight="1">
      <c r="B476" s="31">
        <v>1</v>
      </c>
      <c r="C476" s="33" t="s">
        <v>509</v>
      </c>
      <c r="D476" s="41">
        <v>41946</v>
      </c>
      <c r="E476" s="41">
        <v>41947</v>
      </c>
      <c r="F476" s="36">
        <v>41947</v>
      </c>
      <c r="G476" s="37" t="s">
        <v>26</v>
      </c>
      <c r="H476" s="37" t="s">
        <v>13</v>
      </c>
      <c r="I476" s="36">
        <v>41955</v>
      </c>
      <c r="J476" s="37"/>
    </row>
    <row r="477" spans="2:10" ht="51.75" hidden="1" customHeight="1">
      <c r="B477" s="31">
        <v>1</v>
      </c>
      <c r="C477" s="33" t="s">
        <v>519</v>
      </c>
      <c r="D477" s="41">
        <v>41946</v>
      </c>
      <c r="E477" s="41">
        <v>41947</v>
      </c>
      <c r="F477" s="36">
        <v>41947</v>
      </c>
      <c r="G477" s="37" t="s">
        <v>25</v>
      </c>
      <c r="H477" s="37" t="s">
        <v>34</v>
      </c>
      <c r="I477" s="36">
        <v>41947</v>
      </c>
      <c r="J477" s="37"/>
    </row>
    <row r="478" spans="2:10" ht="41.25" hidden="1" customHeight="1">
      <c r="B478" s="31">
        <v>1</v>
      </c>
      <c r="C478" s="47" t="s">
        <v>525</v>
      </c>
      <c r="D478" s="41">
        <v>41946</v>
      </c>
      <c r="E478" s="41">
        <v>41953</v>
      </c>
      <c r="F478" s="36">
        <v>41947</v>
      </c>
      <c r="G478" s="37" t="s">
        <v>25</v>
      </c>
      <c r="H478" s="37" t="s">
        <v>470</v>
      </c>
      <c r="I478" s="36">
        <v>41992</v>
      </c>
      <c r="J478" s="37"/>
    </row>
    <row r="479" spans="2:10" ht="36.75" hidden="1" customHeight="1">
      <c r="B479" s="31">
        <v>1</v>
      </c>
      <c r="C479" s="33" t="s">
        <v>533</v>
      </c>
      <c r="D479" s="41">
        <v>41946</v>
      </c>
      <c r="E479" s="41">
        <v>41947</v>
      </c>
      <c r="F479" s="36">
        <v>41947</v>
      </c>
      <c r="G479" s="37" t="s">
        <v>25</v>
      </c>
      <c r="H479" s="37" t="s">
        <v>491</v>
      </c>
      <c r="I479" s="36">
        <v>41955</v>
      </c>
      <c r="J479" s="37"/>
    </row>
    <row r="480" spans="2:10" ht="29.25" hidden="1" customHeight="1">
      <c r="B480" s="31">
        <v>1</v>
      </c>
      <c r="C480" s="33" t="s">
        <v>520</v>
      </c>
      <c r="D480" s="41">
        <v>41946</v>
      </c>
      <c r="E480" s="41">
        <v>41947</v>
      </c>
      <c r="F480" s="36">
        <v>41947</v>
      </c>
      <c r="G480" s="37" t="s">
        <v>25</v>
      </c>
      <c r="H480" s="37" t="s">
        <v>34</v>
      </c>
      <c r="I480" s="36">
        <v>41947</v>
      </c>
      <c r="J480" s="37"/>
    </row>
    <row r="481" spans="2:10" ht="51" hidden="1" customHeight="1">
      <c r="B481" s="31">
        <v>1</v>
      </c>
      <c r="C481" s="33" t="s">
        <v>510</v>
      </c>
      <c r="D481" s="41">
        <v>41946</v>
      </c>
      <c r="E481" s="41">
        <v>41947</v>
      </c>
      <c r="F481" s="36">
        <v>41949</v>
      </c>
      <c r="G481" s="37" t="s">
        <v>25</v>
      </c>
      <c r="H481" s="37" t="s">
        <v>146</v>
      </c>
      <c r="I481" s="36">
        <v>41955</v>
      </c>
      <c r="J481" s="37"/>
    </row>
    <row r="482" spans="2:10" ht="36.75" hidden="1" customHeight="1">
      <c r="B482" s="31">
        <v>1</v>
      </c>
      <c r="C482" s="33" t="s">
        <v>536</v>
      </c>
      <c r="D482" s="41">
        <v>41946</v>
      </c>
      <c r="E482" s="41">
        <v>41947</v>
      </c>
      <c r="F482" s="36">
        <v>41947</v>
      </c>
      <c r="G482" s="37" t="s">
        <v>24</v>
      </c>
      <c r="H482" s="37" t="s">
        <v>57</v>
      </c>
      <c r="I482" s="36">
        <v>41956</v>
      </c>
      <c r="J482" s="37"/>
    </row>
    <row r="483" spans="2:10" ht="48.75" hidden="1" customHeight="1">
      <c r="B483" s="31">
        <v>1</v>
      </c>
      <c r="C483" s="33" t="s">
        <v>537</v>
      </c>
      <c r="D483" s="41">
        <v>41947</v>
      </c>
      <c r="E483" s="41">
        <v>41947</v>
      </c>
      <c r="F483" s="36">
        <v>41950</v>
      </c>
      <c r="G483" s="37" t="s">
        <v>25</v>
      </c>
      <c r="H483" s="37" t="s">
        <v>511</v>
      </c>
      <c r="I483" s="36">
        <v>41956</v>
      </c>
      <c r="J483" s="37"/>
    </row>
    <row r="484" spans="2:10" ht="35.25" hidden="1" customHeight="1">
      <c r="B484" s="31">
        <v>1</v>
      </c>
      <c r="C484" s="33" t="s">
        <v>524</v>
      </c>
      <c r="D484" s="41">
        <v>41947</v>
      </c>
      <c r="E484" s="41">
        <v>41950</v>
      </c>
      <c r="F484" s="36">
        <v>41950</v>
      </c>
      <c r="G484" s="37" t="s">
        <v>25</v>
      </c>
      <c r="H484" s="37" t="s">
        <v>34</v>
      </c>
      <c r="I484" s="36">
        <v>41950</v>
      </c>
      <c r="J484" s="37"/>
    </row>
    <row r="485" spans="2:10" ht="33.75" hidden="1" customHeight="1">
      <c r="B485" s="31">
        <v>1</v>
      </c>
      <c r="C485" s="33" t="s">
        <v>523</v>
      </c>
      <c r="D485" s="41">
        <v>41948</v>
      </c>
      <c r="E485" s="41">
        <v>41948</v>
      </c>
      <c r="F485" s="36">
        <v>41955</v>
      </c>
      <c r="G485" s="37" t="s">
        <v>25</v>
      </c>
      <c r="H485" s="37" t="s">
        <v>470</v>
      </c>
      <c r="I485" s="36">
        <v>41950</v>
      </c>
      <c r="J485" s="37"/>
    </row>
    <row r="486" spans="2:10" ht="34.5" hidden="1" customHeight="1">
      <c r="B486" s="31">
        <v>1</v>
      </c>
      <c r="C486" s="33" t="s">
        <v>538</v>
      </c>
      <c r="D486" s="41">
        <v>41948</v>
      </c>
      <c r="E486" s="41">
        <v>41950</v>
      </c>
      <c r="F486" s="36">
        <v>41950</v>
      </c>
      <c r="G486" s="37" t="s">
        <v>25</v>
      </c>
      <c r="H486" s="37" t="s">
        <v>13</v>
      </c>
      <c r="I486" s="36">
        <v>41956</v>
      </c>
      <c r="J486" s="37"/>
    </row>
    <row r="487" spans="2:10" ht="35.25" hidden="1" customHeight="1">
      <c r="B487" s="31">
        <v>1</v>
      </c>
      <c r="C487" s="33" t="s">
        <v>521</v>
      </c>
      <c r="D487" s="41">
        <v>41948</v>
      </c>
      <c r="E487" s="41">
        <v>41950</v>
      </c>
      <c r="F487" s="36">
        <v>41950</v>
      </c>
      <c r="G487" s="37" t="s">
        <v>25</v>
      </c>
      <c r="H487" s="37" t="s">
        <v>356</v>
      </c>
      <c r="I487" s="36">
        <v>41956</v>
      </c>
      <c r="J487" s="37"/>
    </row>
    <row r="488" spans="2:10" ht="29.25" hidden="1" customHeight="1">
      <c r="B488" s="31">
        <v>1</v>
      </c>
      <c r="C488" s="33" t="s">
        <v>554</v>
      </c>
      <c r="D488" s="41">
        <v>41970</v>
      </c>
      <c r="E488" s="41">
        <v>41970</v>
      </c>
      <c r="F488" s="36">
        <v>41974</v>
      </c>
      <c r="G488" s="37" t="s">
        <v>24</v>
      </c>
      <c r="H488" s="37" t="s">
        <v>57</v>
      </c>
      <c r="I488" s="36">
        <v>41992</v>
      </c>
      <c r="J488" s="37"/>
    </row>
    <row r="489" spans="2:10" ht="29.25" hidden="1" customHeight="1">
      <c r="B489" s="31">
        <v>1</v>
      </c>
      <c r="C489" s="47" t="s">
        <v>559</v>
      </c>
      <c r="D489" s="41">
        <v>41974</v>
      </c>
      <c r="E489" s="41">
        <v>41974</v>
      </c>
      <c r="F489" s="36">
        <v>41975</v>
      </c>
      <c r="G489" s="37" t="s">
        <v>24</v>
      </c>
      <c r="H489" s="37" t="s">
        <v>34</v>
      </c>
      <c r="I489" s="36">
        <v>41992</v>
      </c>
      <c r="J489" s="37"/>
    </row>
    <row r="490" spans="2:10" ht="29.25" hidden="1" customHeight="1">
      <c r="B490" s="31">
        <v>1</v>
      </c>
      <c r="C490" s="47" t="s">
        <v>621</v>
      </c>
      <c r="D490" s="41">
        <v>41983</v>
      </c>
      <c r="E490" s="41">
        <v>41987</v>
      </c>
      <c r="F490" s="36">
        <v>41987</v>
      </c>
      <c r="G490" s="37" t="s">
        <v>24</v>
      </c>
      <c r="H490" s="37" t="s">
        <v>209</v>
      </c>
      <c r="I490" s="36">
        <v>42017</v>
      </c>
      <c r="J490" s="37"/>
    </row>
    <row r="491" spans="2:10" ht="29.25" hidden="1" customHeight="1">
      <c r="B491" s="31">
        <v>1</v>
      </c>
      <c r="C491" s="33" t="s">
        <v>544</v>
      </c>
      <c r="D491" s="41">
        <v>41954</v>
      </c>
      <c r="E491" s="41">
        <v>41959</v>
      </c>
      <c r="F491" s="36">
        <v>41959</v>
      </c>
      <c r="G491" s="37" t="s">
        <v>24</v>
      </c>
      <c r="H491" s="37" t="s">
        <v>209</v>
      </c>
      <c r="I491" s="36">
        <v>41968</v>
      </c>
      <c r="J491" s="37"/>
    </row>
    <row r="492" spans="2:10" ht="54" hidden="1" customHeight="1">
      <c r="B492" s="31">
        <v>1</v>
      </c>
      <c r="C492" s="47" t="s">
        <v>597</v>
      </c>
      <c r="D492" s="41">
        <v>41984</v>
      </c>
      <c r="E492" s="41">
        <v>41987</v>
      </c>
      <c r="F492" s="36">
        <v>41987</v>
      </c>
      <c r="G492" s="37" t="s">
        <v>24</v>
      </c>
      <c r="H492" s="37" t="s">
        <v>209</v>
      </c>
      <c r="I492" s="36">
        <v>41992</v>
      </c>
      <c r="J492" s="37"/>
    </row>
    <row r="493" spans="2:10" ht="29.25" hidden="1" customHeight="1">
      <c r="B493" s="31">
        <v>1</v>
      </c>
      <c r="C493" s="33" t="s">
        <v>598</v>
      </c>
      <c r="D493" s="41">
        <v>41988</v>
      </c>
      <c r="E493" s="41">
        <v>41988</v>
      </c>
      <c r="F493" s="36">
        <v>41988</v>
      </c>
      <c r="G493" s="37" t="s">
        <v>24</v>
      </c>
      <c r="H493" s="37" t="s">
        <v>209</v>
      </c>
      <c r="I493" s="36">
        <v>42086</v>
      </c>
      <c r="J493" s="37"/>
    </row>
    <row r="494" spans="2:10" ht="29.25" hidden="1" customHeight="1">
      <c r="B494" s="31">
        <v>1</v>
      </c>
      <c r="C494" s="33" t="s">
        <v>534</v>
      </c>
      <c r="D494" s="41">
        <v>41955</v>
      </c>
      <c r="E494" s="41">
        <v>41956</v>
      </c>
      <c r="F494" s="36">
        <v>41964</v>
      </c>
      <c r="G494" s="37" t="s">
        <v>25</v>
      </c>
      <c r="H494" s="37" t="s">
        <v>185</v>
      </c>
      <c r="I494" s="36">
        <v>41968</v>
      </c>
      <c r="J494" s="37"/>
    </row>
    <row r="495" spans="2:10" ht="29.25" hidden="1" customHeight="1">
      <c r="B495" s="31">
        <v>1</v>
      </c>
      <c r="C495" s="33" t="s">
        <v>622</v>
      </c>
      <c r="D495" s="41">
        <v>41992</v>
      </c>
      <c r="E495" s="41">
        <v>42013</v>
      </c>
      <c r="F495" s="36">
        <v>41992</v>
      </c>
      <c r="G495" s="37" t="s">
        <v>24</v>
      </c>
      <c r="H495" s="37" t="s">
        <v>64</v>
      </c>
      <c r="I495" s="36">
        <v>42017</v>
      </c>
      <c r="J495" s="37"/>
    </row>
    <row r="496" spans="2:10" ht="29.25" hidden="1" customHeight="1">
      <c r="B496" s="31">
        <v>1</v>
      </c>
      <c r="C496" s="47" t="s">
        <v>467</v>
      </c>
      <c r="D496" s="41">
        <v>41899</v>
      </c>
      <c r="E496" s="41">
        <v>41975</v>
      </c>
      <c r="F496" s="36">
        <v>41975</v>
      </c>
      <c r="G496" s="37" t="s">
        <v>25</v>
      </c>
      <c r="H496" s="37" t="s">
        <v>110</v>
      </c>
      <c r="I496" s="37"/>
      <c r="J496" s="37"/>
    </row>
    <row r="497" spans="2:10" ht="29.25" hidden="1" customHeight="1">
      <c r="B497" s="31">
        <v>1</v>
      </c>
      <c r="C497" s="33" t="s">
        <v>575</v>
      </c>
      <c r="D497" s="41">
        <v>41957</v>
      </c>
      <c r="E497" s="41">
        <v>41974</v>
      </c>
      <c r="F497" s="36">
        <v>41976</v>
      </c>
      <c r="G497" s="37" t="s">
        <v>25</v>
      </c>
      <c r="H497" s="37" t="s">
        <v>110</v>
      </c>
      <c r="I497" s="36">
        <v>41982</v>
      </c>
      <c r="J497" s="37"/>
    </row>
    <row r="498" spans="2:10" ht="29.25" hidden="1" customHeight="1">
      <c r="B498" s="31">
        <v>1</v>
      </c>
      <c r="C498" s="33" t="s">
        <v>623</v>
      </c>
      <c r="D498" s="41">
        <v>41950</v>
      </c>
      <c r="E498" s="41">
        <v>41985</v>
      </c>
      <c r="F498" s="36">
        <v>41985</v>
      </c>
      <c r="G498" s="37" t="s">
        <v>25</v>
      </c>
      <c r="H498" s="37" t="s">
        <v>511</v>
      </c>
      <c r="I498" s="36">
        <v>42017</v>
      </c>
      <c r="J498" s="37"/>
    </row>
    <row r="499" spans="2:10" ht="29.25" hidden="1" customHeight="1">
      <c r="B499" s="31">
        <v>1</v>
      </c>
      <c r="C499" s="33" t="s">
        <v>557</v>
      </c>
      <c r="D499" s="41">
        <v>41957</v>
      </c>
      <c r="E499" s="41">
        <v>41971</v>
      </c>
      <c r="F499" s="36">
        <v>41971</v>
      </c>
      <c r="G499" s="37" t="s">
        <v>24</v>
      </c>
      <c r="H499" s="37" t="s">
        <v>209</v>
      </c>
      <c r="I499" s="36">
        <v>41981</v>
      </c>
      <c r="J499" s="37"/>
    </row>
    <row r="500" spans="2:10" ht="29.25" hidden="1" customHeight="1">
      <c r="B500" s="31">
        <v>1</v>
      </c>
      <c r="C500" s="33" t="s">
        <v>549</v>
      </c>
      <c r="D500" s="41">
        <v>41957</v>
      </c>
      <c r="E500" s="41">
        <v>41961</v>
      </c>
      <c r="F500" s="36">
        <v>41961</v>
      </c>
      <c r="G500" s="37" t="s">
        <v>24</v>
      </c>
      <c r="H500" s="37" t="s">
        <v>34</v>
      </c>
      <c r="I500" s="36">
        <v>41968</v>
      </c>
      <c r="J500" s="37"/>
    </row>
    <row r="501" spans="2:10" ht="31.5" hidden="1" customHeight="1">
      <c r="B501" s="31">
        <v>1</v>
      </c>
      <c r="C501" s="33" t="s">
        <v>541</v>
      </c>
      <c r="D501" s="41">
        <v>41960</v>
      </c>
      <c r="E501" s="41">
        <v>41961</v>
      </c>
      <c r="F501" s="36">
        <v>41961</v>
      </c>
      <c r="G501" s="37" t="s">
        <v>24</v>
      </c>
      <c r="H501" s="37" t="s">
        <v>491</v>
      </c>
      <c r="I501" s="36">
        <v>41968</v>
      </c>
      <c r="J501" s="37"/>
    </row>
    <row r="502" spans="2:10" ht="29.25" hidden="1" customHeight="1">
      <c r="B502" s="31">
        <v>1</v>
      </c>
      <c r="C502" s="33" t="s">
        <v>550</v>
      </c>
      <c r="D502" s="41">
        <v>41961</v>
      </c>
      <c r="E502" s="41">
        <v>41962</v>
      </c>
      <c r="F502" s="36">
        <v>41962</v>
      </c>
      <c r="G502" s="37" t="s">
        <v>25</v>
      </c>
      <c r="H502" s="37" t="s">
        <v>470</v>
      </c>
      <c r="I502" s="36">
        <v>41968</v>
      </c>
      <c r="J502" s="37"/>
    </row>
    <row r="503" spans="2:10" ht="29.25" hidden="1" customHeight="1">
      <c r="B503" s="31">
        <v>1</v>
      </c>
      <c r="C503" s="33" t="s">
        <v>546</v>
      </c>
      <c r="D503" s="41">
        <v>41968</v>
      </c>
      <c r="E503" s="41">
        <v>41968</v>
      </c>
      <c r="F503" s="36">
        <v>41968</v>
      </c>
      <c r="G503" s="37" t="s">
        <v>26</v>
      </c>
      <c r="H503" s="37" t="s">
        <v>34</v>
      </c>
      <c r="I503" s="36">
        <v>41968</v>
      </c>
      <c r="J503" s="37"/>
    </row>
    <row r="504" spans="2:10" ht="29.25" hidden="1" customHeight="1">
      <c r="B504" s="31">
        <v>1</v>
      </c>
      <c r="C504" s="47" t="s">
        <v>573</v>
      </c>
      <c r="D504" s="41">
        <v>41953</v>
      </c>
      <c r="E504" s="41">
        <v>41989</v>
      </c>
      <c r="F504" s="36">
        <v>41992</v>
      </c>
      <c r="G504" s="37" t="s">
        <v>25</v>
      </c>
      <c r="H504" s="37" t="s">
        <v>34</v>
      </c>
      <c r="I504" s="36">
        <v>42017</v>
      </c>
      <c r="J504" s="37"/>
    </row>
    <row r="505" spans="2:10" ht="29.25" hidden="1" customHeight="1">
      <c r="B505" s="31">
        <v>1</v>
      </c>
      <c r="C505" s="47" t="s">
        <v>577</v>
      </c>
      <c r="D505" s="41">
        <v>41955</v>
      </c>
      <c r="E505" s="41">
        <v>41955</v>
      </c>
      <c r="F505" s="36">
        <v>41960</v>
      </c>
      <c r="G505" s="37" t="s">
        <v>25</v>
      </c>
      <c r="H505" s="37" t="s">
        <v>63</v>
      </c>
      <c r="I505" s="37"/>
      <c r="J505" s="37"/>
    </row>
    <row r="506" spans="2:10" ht="29.25" hidden="1" customHeight="1">
      <c r="B506" s="31">
        <v>1</v>
      </c>
      <c r="C506" s="47" t="s">
        <v>574</v>
      </c>
      <c r="D506" s="41">
        <v>41955</v>
      </c>
      <c r="E506" s="41">
        <v>41984</v>
      </c>
      <c r="F506" s="36">
        <v>41984</v>
      </c>
      <c r="G506" s="37" t="s">
        <v>25</v>
      </c>
      <c r="H506" s="37" t="s">
        <v>511</v>
      </c>
      <c r="I506" s="37"/>
      <c r="J506" s="37"/>
    </row>
    <row r="507" spans="2:10" ht="29.25" hidden="1" customHeight="1">
      <c r="B507" s="31">
        <v>1</v>
      </c>
      <c r="C507" s="33" t="s">
        <v>553</v>
      </c>
      <c r="D507" s="41">
        <v>41956</v>
      </c>
      <c r="E507" s="41">
        <v>42062</v>
      </c>
      <c r="F507" s="36">
        <v>42062</v>
      </c>
      <c r="G507" s="37" t="s">
        <v>25</v>
      </c>
      <c r="H507" s="37" t="s">
        <v>63</v>
      </c>
      <c r="I507" s="37"/>
      <c r="J507" s="37"/>
    </row>
    <row r="508" spans="2:10" ht="29.25" hidden="1" customHeight="1">
      <c r="B508" s="31">
        <v>1</v>
      </c>
      <c r="C508" s="33" t="s">
        <v>539</v>
      </c>
      <c r="D508" s="41">
        <v>41957</v>
      </c>
      <c r="E508" s="41">
        <v>41968</v>
      </c>
      <c r="F508" s="36">
        <v>41992</v>
      </c>
      <c r="G508" s="37" t="s">
        <v>25</v>
      </c>
      <c r="H508" s="37" t="s">
        <v>64</v>
      </c>
      <c r="I508" s="36">
        <v>42017</v>
      </c>
      <c r="J508" s="37"/>
    </row>
    <row r="509" spans="2:10" ht="61.5" hidden="1" customHeight="1">
      <c r="B509" s="31">
        <v>1</v>
      </c>
      <c r="C509" s="33" t="s">
        <v>545</v>
      </c>
      <c r="D509" s="41">
        <v>41957</v>
      </c>
      <c r="E509" s="41">
        <v>41975</v>
      </c>
      <c r="F509" s="36">
        <v>41971</v>
      </c>
      <c r="G509" s="37" t="s">
        <v>25</v>
      </c>
      <c r="H509" s="37" t="s">
        <v>64</v>
      </c>
      <c r="I509" s="36">
        <v>42017</v>
      </c>
      <c r="J509" s="37"/>
    </row>
    <row r="510" spans="2:10" ht="29.25" hidden="1" customHeight="1">
      <c r="B510" s="31">
        <v>1</v>
      </c>
      <c r="C510" s="47" t="s">
        <v>542</v>
      </c>
      <c r="D510" s="41">
        <v>41962</v>
      </c>
      <c r="E510" s="41">
        <v>41964</v>
      </c>
      <c r="F510" s="36">
        <v>41964</v>
      </c>
      <c r="G510" s="37" t="s">
        <v>25</v>
      </c>
      <c r="H510" s="37" t="s">
        <v>470</v>
      </c>
      <c r="I510" s="37"/>
      <c r="J510" s="37"/>
    </row>
    <row r="511" spans="2:10" ht="29.25" hidden="1" customHeight="1">
      <c r="B511" s="31">
        <v>1</v>
      </c>
      <c r="C511" s="47" t="s">
        <v>610</v>
      </c>
      <c r="D511" s="41">
        <v>41964</v>
      </c>
      <c r="E511" s="41">
        <v>41968</v>
      </c>
      <c r="F511" s="36">
        <v>41968</v>
      </c>
      <c r="G511" s="37" t="s">
        <v>25</v>
      </c>
      <c r="H511" s="37" t="s">
        <v>34</v>
      </c>
      <c r="I511" s="36">
        <v>42017</v>
      </c>
      <c r="J511" s="37"/>
    </row>
    <row r="512" spans="2:10" ht="29.25" hidden="1" customHeight="1">
      <c r="B512" s="31">
        <v>1</v>
      </c>
      <c r="C512" s="33" t="s">
        <v>543</v>
      </c>
      <c r="D512" s="41">
        <v>41968</v>
      </c>
      <c r="E512" s="41">
        <v>41971</v>
      </c>
      <c r="F512" s="36">
        <v>41971</v>
      </c>
      <c r="G512" s="37" t="s">
        <v>25</v>
      </c>
      <c r="H512" s="37" t="s">
        <v>13</v>
      </c>
      <c r="I512" s="36">
        <v>42017</v>
      </c>
      <c r="J512" s="37"/>
    </row>
    <row r="513" spans="2:10" ht="29.25" hidden="1" customHeight="1">
      <c r="B513" s="31">
        <v>1</v>
      </c>
      <c r="C513" s="33" t="s">
        <v>624</v>
      </c>
      <c r="D513" s="41">
        <v>41968</v>
      </c>
      <c r="E513" s="41">
        <v>41969</v>
      </c>
      <c r="F513" s="36">
        <v>41970</v>
      </c>
      <c r="G513" s="37" t="s">
        <v>25</v>
      </c>
      <c r="H513" s="37" t="s">
        <v>13</v>
      </c>
      <c r="I513" s="36">
        <v>42017</v>
      </c>
      <c r="J513" s="37"/>
    </row>
    <row r="514" spans="2:10" ht="57.75" hidden="1" customHeight="1">
      <c r="B514" s="31">
        <v>1</v>
      </c>
      <c r="C514" s="33" t="s">
        <v>551</v>
      </c>
      <c r="D514" s="41">
        <v>41968</v>
      </c>
      <c r="E514" s="41">
        <v>41969</v>
      </c>
      <c r="F514" s="36">
        <v>41969</v>
      </c>
      <c r="G514" s="37" t="s">
        <v>25</v>
      </c>
      <c r="H514" s="37" t="s">
        <v>13</v>
      </c>
      <c r="I514" s="36">
        <v>42017</v>
      </c>
      <c r="J514" s="37"/>
    </row>
    <row r="515" spans="2:10" ht="29.25" hidden="1" customHeight="1">
      <c r="B515" s="31">
        <v>1</v>
      </c>
      <c r="C515" s="47" t="s">
        <v>576</v>
      </c>
      <c r="D515" s="41">
        <v>41971</v>
      </c>
      <c r="E515" s="41">
        <v>41974</v>
      </c>
      <c r="F515" s="36">
        <v>41975</v>
      </c>
      <c r="G515" s="37" t="s">
        <v>25</v>
      </c>
      <c r="H515" s="37" t="s">
        <v>34</v>
      </c>
      <c r="I515" s="36">
        <v>41982</v>
      </c>
      <c r="J515" s="37"/>
    </row>
    <row r="516" spans="2:10" ht="58.5" hidden="1" customHeight="1">
      <c r="B516" s="31">
        <v>1</v>
      </c>
      <c r="C516" s="33" t="s">
        <v>552</v>
      </c>
      <c r="D516" s="41">
        <v>41969</v>
      </c>
      <c r="E516" s="41">
        <v>41971</v>
      </c>
      <c r="F516" s="36">
        <v>41975</v>
      </c>
      <c r="G516" s="37" t="s">
        <v>25</v>
      </c>
      <c r="H516" s="37" t="s">
        <v>13</v>
      </c>
      <c r="I516" s="36">
        <v>42017</v>
      </c>
      <c r="J516" s="37"/>
    </row>
    <row r="517" spans="2:10" ht="29.25" hidden="1" customHeight="1">
      <c r="B517" s="31">
        <v>1</v>
      </c>
      <c r="C517" s="33" t="s">
        <v>625</v>
      </c>
      <c r="D517" s="41">
        <v>41969</v>
      </c>
      <c r="E517" s="41">
        <v>41970</v>
      </c>
      <c r="F517" s="36">
        <v>41976</v>
      </c>
      <c r="G517" s="37" t="s">
        <v>25</v>
      </c>
      <c r="H517" s="37" t="s">
        <v>185</v>
      </c>
      <c r="I517" s="36">
        <v>42017</v>
      </c>
      <c r="J517" s="37"/>
    </row>
    <row r="518" spans="2:10" ht="29.25" hidden="1" customHeight="1">
      <c r="B518" s="31">
        <v>1</v>
      </c>
      <c r="C518" s="47" t="s">
        <v>611</v>
      </c>
      <c r="D518" s="41">
        <v>41970</v>
      </c>
      <c r="E518" s="41">
        <v>41971</v>
      </c>
      <c r="F518" s="36">
        <v>41975</v>
      </c>
      <c r="G518" s="37" t="s">
        <v>25</v>
      </c>
      <c r="H518" s="37" t="s">
        <v>470</v>
      </c>
      <c r="I518" s="36">
        <v>42017</v>
      </c>
      <c r="J518" s="37"/>
    </row>
    <row r="519" spans="2:10" ht="29.25" hidden="1" customHeight="1">
      <c r="B519" s="31">
        <v>1</v>
      </c>
      <c r="C519" s="33" t="s">
        <v>555</v>
      </c>
      <c r="D519" s="41">
        <v>41971</v>
      </c>
      <c r="E519" s="41">
        <v>41974</v>
      </c>
      <c r="F519" s="36">
        <v>41974</v>
      </c>
      <c r="G519" s="37" t="s">
        <v>25</v>
      </c>
      <c r="H519" s="37" t="s">
        <v>13</v>
      </c>
      <c r="I519" s="36">
        <v>42017</v>
      </c>
      <c r="J519" s="37"/>
    </row>
    <row r="520" spans="2:10" ht="29.25" hidden="1" customHeight="1">
      <c r="B520" s="31">
        <v>1</v>
      </c>
      <c r="C520" s="33" t="s">
        <v>626</v>
      </c>
      <c r="D520" s="41">
        <v>41974</v>
      </c>
      <c r="E520" s="41">
        <v>41974</v>
      </c>
      <c r="F520" s="36">
        <v>41975</v>
      </c>
      <c r="G520" s="37" t="s">
        <v>25</v>
      </c>
      <c r="H520" s="37" t="s">
        <v>13</v>
      </c>
      <c r="I520" s="36">
        <v>42017</v>
      </c>
      <c r="J520" s="37"/>
    </row>
    <row r="521" spans="2:10" ht="42" hidden="1" customHeight="1">
      <c r="B521" s="31">
        <v>1</v>
      </c>
      <c r="C521" s="33" t="s">
        <v>556</v>
      </c>
      <c r="D521" s="41">
        <v>41974</v>
      </c>
      <c r="E521" s="41">
        <v>41975</v>
      </c>
      <c r="F521" s="36">
        <v>41975</v>
      </c>
      <c r="G521" s="37" t="s">
        <v>25</v>
      </c>
      <c r="H521" s="37" t="s">
        <v>356</v>
      </c>
      <c r="I521" s="36">
        <v>42017</v>
      </c>
      <c r="J521" s="37"/>
    </row>
    <row r="522" spans="2:10" ht="29.25" hidden="1" customHeight="1">
      <c r="B522" s="31">
        <v>1</v>
      </c>
      <c r="C522" s="33" t="s">
        <v>563</v>
      </c>
      <c r="D522" s="41">
        <v>41976</v>
      </c>
      <c r="E522" s="41">
        <v>41981</v>
      </c>
      <c r="F522" s="36">
        <v>41981</v>
      </c>
      <c r="G522" s="37" t="s">
        <v>24</v>
      </c>
      <c r="H522" s="37" t="s">
        <v>209</v>
      </c>
      <c r="I522" s="36">
        <v>41981</v>
      </c>
      <c r="J522" s="37"/>
    </row>
    <row r="523" spans="2:10" ht="29.25" hidden="1" customHeight="1">
      <c r="B523" s="31">
        <v>1</v>
      </c>
      <c r="C523" s="33" t="s">
        <v>558</v>
      </c>
      <c r="D523" s="41">
        <v>41974</v>
      </c>
      <c r="E523" s="41">
        <v>41977</v>
      </c>
      <c r="F523" s="36">
        <v>41982</v>
      </c>
      <c r="G523" s="37" t="s">
        <v>25</v>
      </c>
      <c r="H523" s="37" t="s">
        <v>13</v>
      </c>
      <c r="I523" s="37"/>
      <c r="J523" s="37"/>
    </row>
    <row r="524" spans="2:10" ht="29.25" hidden="1" customHeight="1">
      <c r="B524" s="31">
        <v>1</v>
      </c>
      <c r="C524" s="33" t="s">
        <v>560</v>
      </c>
      <c r="D524" s="41">
        <v>41974</v>
      </c>
      <c r="E524" s="41">
        <v>41975</v>
      </c>
      <c r="F524" s="36">
        <v>41977</v>
      </c>
      <c r="G524" s="37" t="s">
        <v>25</v>
      </c>
      <c r="H524" s="37" t="s">
        <v>13</v>
      </c>
      <c r="I524" s="36">
        <v>42017</v>
      </c>
      <c r="J524" s="37"/>
    </row>
    <row r="525" spans="2:10" ht="29.25" hidden="1" customHeight="1">
      <c r="B525" s="31">
        <v>1</v>
      </c>
      <c r="C525" s="33" t="s">
        <v>566</v>
      </c>
      <c r="D525" s="41">
        <v>41977</v>
      </c>
      <c r="E525" s="41">
        <v>41980</v>
      </c>
      <c r="F525" s="36">
        <v>41981</v>
      </c>
      <c r="G525" s="37" t="s">
        <v>24</v>
      </c>
      <c r="H525" s="37" t="s">
        <v>209</v>
      </c>
      <c r="I525" s="36">
        <v>41981</v>
      </c>
      <c r="J525" s="37"/>
    </row>
    <row r="526" spans="2:10" ht="46.5" hidden="1" customHeight="1">
      <c r="B526" s="31">
        <v>1</v>
      </c>
      <c r="C526" s="33" t="s">
        <v>571</v>
      </c>
      <c r="D526" s="41">
        <v>41977</v>
      </c>
      <c r="E526" s="41">
        <v>41981</v>
      </c>
      <c r="F526" s="36">
        <v>41983</v>
      </c>
      <c r="G526" s="37" t="s">
        <v>25</v>
      </c>
      <c r="H526" s="37" t="s">
        <v>13</v>
      </c>
      <c r="I526" s="36">
        <v>41982</v>
      </c>
      <c r="J526" s="37"/>
    </row>
    <row r="527" spans="2:10" ht="29.25" hidden="1" customHeight="1">
      <c r="B527" s="31">
        <v>1</v>
      </c>
      <c r="C527" s="33" t="s">
        <v>562</v>
      </c>
      <c r="D527" s="41">
        <v>41976</v>
      </c>
      <c r="E527" s="41">
        <v>41982</v>
      </c>
      <c r="F527" s="36">
        <v>41982</v>
      </c>
      <c r="G527" s="37" t="s">
        <v>25</v>
      </c>
      <c r="H527" s="37" t="s">
        <v>458</v>
      </c>
      <c r="I527" s="37"/>
      <c r="J527" s="37"/>
    </row>
    <row r="528" spans="2:10" ht="29.25" hidden="1" customHeight="1">
      <c r="B528" s="31">
        <v>1</v>
      </c>
      <c r="C528" s="33" t="s">
        <v>590</v>
      </c>
      <c r="D528" s="41">
        <v>41981</v>
      </c>
      <c r="E528" s="41">
        <v>41982</v>
      </c>
      <c r="F528" s="36">
        <v>41982</v>
      </c>
      <c r="G528" s="37" t="s">
        <v>25</v>
      </c>
      <c r="H528" s="37" t="s">
        <v>568</v>
      </c>
      <c r="I528" s="36">
        <v>41991</v>
      </c>
      <c r="J528" s="37"/>
    </row>
    <row r="529" spans="2:10" ht="29.25" hidden="1" customHeight="1">
      <c r="B529" s="31">
        <v>1</v>
      </c>
      <c r="C529" s="33" t="s">
        <v>564</v>
      </c>
      <c r="D529" s="41">
        <v>41977</v>
      </c>
      <c r="E529" s="41">
        <v>41978</v>
      </c>
      <c r="F529" s="36">
        <v>41985</v>
      </c>
      <c r="G529" s="37" t="s">
        <v>25</v>
      </c>
      <c r="H529" s="37" t="s">
        <v>88</v>
      </c>
      <c r="I529" s="37"/>
      <c r="J529" s="37"/>
    </row>
    <row r="530" spans="2:10" ht="37.5" hidden="1" customHeight="1">
      <c r="B530" s="31">
        <v>1</v>
      </c>
      <c r="C530" s="33" t="s">
        <v>567</v>
      </c>
      <c r="D530" s="41">
        <v>41981</v>
      </c>
      <c r="E530" s="41">
        <v>41982</v>
      </c>
      <c r="F530" s="36">
        <v>41983</v>
      </c>
      <c r="G530" s="37" t="s">
        <v>25</v>
      </c>
      <c r="H530" s="37" t="s">
        <v>13</v>
      </c>
      <c r="I530" s="37"/>
      <c r="J530" s="37"/>
    </row>
    <row r="531" spans="2:10" ht="29.25" hidden="1" customHeight="1">
      <c r="B531" s="31">
        <v>1</v>
      </c>
      <c r="C531" s="33" t="s">
        <v>570</v>
      </c>
      <c r="D531" s="41">
        <v>41982</v>
      </c>
      <c r="E531" s="41">
        <v>41985</v>
      </c>
      <c r="F531" s="36">
        <v>41989</v>
      </c>
      <c r="G531" s="37" t="s">
        <v>25</v>
      </c>
      <c r="H531" s="37" t="s">
        <v>57</v>
      </c>
      <c r="I531" s="37"/>
      <c r="J531" s="37"/>
    </row>
    <row r="532" spans="2:10" ht="29.25" hidden="1" customHeight="1">
      <c r="B532" s="31">
        <v>1</v>
      </c>
      <c r="C532" s="47" t="s">
        <v>612</v>
      </c>
      <c r="D532" s="41">
        <v>41984</v>
      </c>
      <c r="E532" s="41">
        <v>41992</v>
      </c>
      <c r="F532" s="36">
        <v>42004</v>
      </c>
      <c r="G532" s="37" t="s">
        <v>25</v>
      </c>
      <c r="H532" s="37" t="s">
        <v>34</v>
      </c>
      <c r="I532" s="36">
        <v>42017</v>
      </c>
      <c r="J532" s="37"/>
    </row>
    <row r="533" spans="2:10" ht="29.25" hidden="1" customHeight="1">
      <c r="B533" s="31">
        <v>1</v>
      </c>
      <c r="C533" s="33" t="s">
        <v>581</v>
      </c>
      <c r="D533" s="41">
        <v>41988</v>
      </c>
      <c r="E533" s="41">
        <v>41990</v>
      </c>
      <c r="F533" s="36">
        <v>41991</v>
      </c>
      <c r="G533" s="37" t="s">
        <v>25</v>
      </c>
      <c r="H533" s="37" t="s">
        <v>568</v>
      </c>
      <c r="I533" s="37"/>
      <c r="J533" s="37"/>
    </row>
    <row r="534" spans="2:10" ht="29.25" hidden="1" customHeight="1">
      <c r="B534" s="31">
        <v>1</v>
      </c>
      <c r="C534" s="33" t="s">
        <v>582</v>
      </c>
      <c r="D534" s="41">
        <v>41989</v>
      </c>
      <c r="E534" s="41">
        <v>41990</v>
      </c>
      <c r="F534" s="36">
        <v>41990</v>
      </c>
      <c r="G534" s="37" t="s">
        <v>25</v>
      </c>
      <c r="H534" s="37" t="s">
        <v>88</v>
      </c>
      <c r="I534" s="37"/>
      <c r="J534" s="37"/>
    </row>
    <row r="535" spans="2:10" ht="29.25" hidden="1" customHeight="1">
      <c r="B535" s="31">
        <v>1</v>
      </c>
      <c r="C535" s="33" t="s">
        <v>583</v>
      </c>
      <c r="D535" s="41">
        <v>41990</v>
      </c>
      <c r="E535" s="41">
        <v>41991</v>
      </c>
      <c r="F535" s="36">
        <v>41992</v>
      </c>
      <c r="G535" s="37" t="s">
        <v>25</v>
      </c>
      <c r="H535" s="37" t="s">
        <v>13</v>
      </c>
      <c r="I535" s="37"/>
      <c r="J535" s="37"/>
    </row>
    <row r="536" spans="2:10" ht="29.25" hidden="1" customHeight="1">
      <c r="B536" s="31">
        <v>1</v>
      </c>
      <c r="C536" s="33" t="s">
        <v>584</v>
      </c>
      <c r="D536" s="41">
        <v>41990</v>
      </c>
      <c r="E536" s="41">
        <v>41991</v>
      </c>
      <c r="F536" s="36">
        <v>41992</v>
      </c>
      <c r="G536" s="37" t="s">
        <v>25</v>
      </c>
      <c r="H536" s="37" t="s">
        <v>13</v>
      </c>
      <c r="I536" s="37"/>
      <c r="J536" s="37"/>
    </row>
    <row r="537" spans="2:10" ht="29.25" hidden="1" customHeight="1">
      <c r="B537" s="31">
        <v>1</v>
      </c>
      <c r="C537" s="33" t="s">
        <v>586</v>
      </c>
      <c r="D537" s="41">
        <v>41990</v>
      </c>
      <c r="E537" s="41">
        <v>41991</v>
      </c>
      <c r="F537" s="36">
        <v>41991</v>
      </c>
      <c r="G537" s="37" t="s">
        <v>25</v>
      </c>
      <c r="H537" s="37" t="s">
        <v>13</v>
      </c>
      <c r="I537" s="37"/>
      <c r="J537" s="37"/>
    </row>
    <row r="538" spans="2:10" ht="36" hidden="1" customHeight="1">
      <c r="B538" s="31">
        <v>1</v>
      </c>
      <c r="C538" s="33" t="s">
        <v>580</v>
      </c>
      <c r="D538" s="41">
        <v>41984</v>
      </c>
      <c r="E538" s="41">
        <v>41985</v>
      </c>
      <c r="F538" s="36">
        <v>41985</v>
      </c>
      <c r="G538" s="37" t="s">
        <v>26</v>
      </c>
      <c r="H538" s="37" t="s">
        <v>146</v>
      </c>
      <c r="I538" s="36">
        <v>41985</v>
      </c>
      <c r="J538" s="37"/>
    </row>
    <row r="539" spans="2:10" ht="33" hidden="1" customHeight="1">
      <c r="B539" s="31">
        <v>1</v>
      </c>
      <c r="C539" s="33" t="s">
        <v>587</v>
      </c>
      <c r="D539" s="41">
        <v>41990</v>
      </c>
      <c r="E539" s="41">
        <v>41991</v>
      </c>
      <c r="F539" s="36">
        <v>41996</v>
      </c>
      <c r="G539" s="37" t="s">
        <v>25</v>
      </c>
      <c r="H539" s="37" t="s">
        <v>248</v>
      </c>
      <c r="I539" s="37"/>
      <c r="J539" s="37"/>
    </row>
    <row r="540" spans="2:10" ht="31.5" hidden="1" customHeight="1">
      <c r="B540" s="31">
        <v>1</v>
      </c>
      <c r="C540" s="33" t="s">
        <v>591</v>
      </c>
      <c r="D540" s="41">
        <v>41991</v>
      </c>
      <c r="E540" s="41">
        <v>41991</v>
      </c>
      <c r="F540" s="36">
        <v>41992</v>
      </c>
      <c r="G540" s="37" t="s">
        <v>25</v>
      </c>
      <c r="H540" s="37" t="s">
        <v>63</v>
      </c>
      <c r="I540" s="37"/>
      <c r="J540" s="37"/>
    </row>
    <row r="541" spans="2:10" ht="29.25" hidden="1" customHeight="1">
      <c r="B541" s="31">
        <v>1</v>
      </c>
      <c r="C541" s="33" t="s">
        <v>593</v>
      </c>
      <c r="D541" s="41">
        <v>41992</v>
      </c>
      <c r="E541" s="41">
        <v>41992</v>
      </c>
      <c r="F541" s="36">
        <v>41992</v>
      </c>
      <c r="G541" s="37" t="s">
        <v>25</v>
      </c>
      <c r="H541" s="37" t="s">
        <v>34</v>
      </c>
      <c r="I541" s="36">
        <v>42017</v>
      </c>
      <c r="J541" s="37"/>
    </row>
    <row r="542" spans="2:10" ht="29.25" hidden="1" customHeight="1">
      <c r="B542" s="31">
        <v>1</v>
      </c>
      <c r="C542" s="59" t="s">
        <v>613</v>
      </c>
      <c r="D542" s="58">
        <v>41981</v>
      </c>
      <c r="E542" s="58">
        <v>42014</v>
      </c>
      <c r="F542" s="38">
        <v>41982</v>
      </c>
      <c r="G542" s="39" t="s">
        <v>25</v>
      </c>
      <c r="H542" s="39" t="s">
        <v>470</v>
      </c>
      <c r="I542" s="38">
        <v>42017</v>
      </c>
      <c r="J542" s="39"/>
    </row>
    <row r="543" spans="2:10" ht="38.25" hidden="1" customHeight="1">
      <c r="B543" s="31">
        <v>1</v>
      </c>
      <c r="C543" s="33" t="s">
        <v>569</v>
      </c>
      <c r="D543" s="41">
        <v>41981</v>
      </c>
      <c r="E543" s="41">
        <v>42027</v>
      </c>
      <c r="F543" s="36">
        <v>42034</v>
      </c>
      <c r="G543" s="37" t="s">
        <v>25</v>
      </c>
      <c r="H543" s="37" t="s">
        <v>21</v>
      </c>
      <c r="I543" s="37"/>
      <c r="J543" s="37"/>
    </row>
    <row r="544" spans="2:10" ht="29.25" hidden="1" customHeight="1">
      <c r="B544" s="31">
        <v>1</v>
      </c>
      <c r="C544" s="47" t="s">
        <v>614</v>
      </c>
      <c r="D544" s="41">
        <v>41981</v>
      </c>
      <c r="E544" s="41">
        <v>41996</v>
      </c>
      <c r="F544" s="36">
        <v>42006</v>
      </c>
      <c r="G544" s="37" t="s">
        <v>25</v>
      </c>
      <c r="H544" s="37" t="s">
        <v>34</v>
      </c>
      <c r="I544" s="36">
        <v>42017</v>
      </c>
      <c r="J544" s="37"/>
    </row>
    <row r="545" spans="2:10" ht="29.25" hidden="1" customHeight="1">
      <c r="B545" s="31">
        <v>1</v>
      </c>
      <c r="C545" s="47" t="s">
        <v>578</v>
      </c>
      <c r="D545" s="41">
        <v>41984</v>
      </c>
      <c r="E545" s="41">
        <v>42010</v>
      </c>
      <c r="F545" s="36">
        <v>42013</v>
      </c>
      <c r="G545" s="37" t="s">
        <v>25</v>
      </c>
      <c r="H545" s="37" t="s">
        <v>34</v>
      </c>
      <c r="I545" s="37"/>
      <c r="J545" s="37"/>
    </row>
    <row r="546" spans="2:10" ht="29.25" hidden="1" customHeight="1">
      <c r="B546" s="31">
        <v>1</v>
      </c>
      <c r="C546" s="47" t="s">
        <v>579</v>
      </c>
      <c r="D546" s="41">
        <v>41984</v>
      </c>
      <c r="E546" s="41">
        <v>42011</v>
      </c>
      <c r="F546" s="36">
        <v>42018</v>
      </c>
      <c r="G546" s="37" t="s">
        <v>25</v>
      </c>
      <c r="H546" s="37" t="s">
        <v>34</v>
      </c>
      <c r="I546" s="36">
        <v>42017</v>
      </c>
      <c r="J546" s="37"/>
    </row>
    <row r="547" spans="2:10" ht="29.25" hidden="1" customHeight="1">
      <c r="B547" s="31">
        <v>1</v>
      </c>
      <c r="C547" s="33" t="s">
        <v>588</v>
      </c>
      <c r="D547" s="41">
        <v>41990</v>
      </c>
      <c r="E547" s="41">
        <v>41995</v>
      </c>
      <c r="F547" s="36">
        <v>41999</v>
      </c>
      <c r="G547" s="37" t="s">
        <v>25</v>
      </c>
      <c r="H547" s="37" t="s">
        <v>57</v>
      </c>
      <c r="I547" s="37"/>
      <c r="J547" s="37"/>
    </row>
    <row r="548" spans="2:10" ht="29.25" hidden="1" customHeight="1">
      <c r="B548" s="31">
        <v>1</v>
      </c>
      <c r="C548" s="33" t="s">
        <v>589</v>
      </c>
      <c r="D548" s="41">
        <v>41990</v>
      </c>
      <c r="E548" s="41">
        <v>41990</v>
      </c>
      <c r="F548" s="36">
        <v>41996</v>
      </c>
      <c r="G548" s="37" t="s">
        <v>25</v>
      </c>
      <c r="H548" s="37" t="s">
        <v>88</v>
      </c>
      <c r="I548" s="36">
        <v>41991</v>
      </c>
      <c r="J548" s="37"/>
    </row>
    <row r="549" spans="2:10" ht="29.25" hidden="1" customHeight="1">
      <c r="B549" s="31">
        <v>1</v>
      </c>
      <c r="C549" s="33" t="s">
        <v>615</v>
      </c>
      <c r="D549" s="41">
        <v>41991</v>
      </c>
      <c r="E549" s="41">
        <v>41995</v>
      </c>
      <c r="F549" s="36">
        <v>41996</v>
      </c>
      <c r="G549" s="37" t="s">
        <v>25</v>
      </c>
      <c r="H549" s="37" t="s">
        <v>34</v>
      </c>
      <c r="I549" s="36">
        <v>42017</v>
      </c>
      <c r="J549" s="37"/>
    </row>
    <row r="550" spans="2:10" ht="81.75" hidden="1" customHeight="1">
      <c r="B550" s="31">
        <v>1</v>
      </c>
      <c r="C550" s="33" t="s">
        <v>616</v>
      </c>
      <c r="D550" s="41">
        <v>41991</v>
      </c>
      <c r="E550" s="41">
        <v>41996</v>
      </c>
      <c r="F550" s="36">
        <v>41997</v>
      </c>
      <c r="G550" s="37" t="s">
        <v>25</v>
      </c>
      <c r="H550" s="37" t="s">
        <v>34</v>
      </c>
      <c r="I550" s="36">
        <v>42017</v>
      </c>
      <c r="J550" s="37"/>
    </row>
    <row r="551" spans="2:10" ht="29.25" hidden="1" customHeight="1">
      <c r="B551" s="31">
        <v>1</v>
      </c>
      <c r="C551" s="33" t="s">
        <v>592</v>
      </c>
      <c r="D551" s="41">
        <v>41991</v>
      </c>
      <c r="E551" s="41">
        <v>41997</v>
      </c>
      <c r="F551" s="36">
        <v>41997</v>
      </c>
      <c r="G551" s="37" t="s">
        <v>25</v>
      </c>
      <c r="H551" s="37" t="s">
        <v>88</v>
      </c>
      <c r="I551" s="37"/>
      <c r="J551" s="37"/>
    </row>
    <row r="552" spans="2:10" ht="29.25" hidden="1" customHeight="1">
      <c r="B552" s="31">
        <v>1</v>
      </c>
      <c r="C552" s="33" t="s">
        <v>594</v>
      </c>
      <c r="D552" s="41">
        <v>41992</v>
      </c>
      <c r="E552" s="41">
        <v>41997</v>
      </c>
      <c r="F552" s="36">
        <v>41997</v>
      </c>
      <c r="G552" s="37" t="s">
        <v>25</v>
      </c>
      <c r="H552" s="37" t="s">
        <v>88</v>
      </c>
      <c r="I552" s="37"/>
      <c r="J552" s="37"/>
    </row>
    <row r="553" spans="2:10" ht="29.25" hidden="1" customHeight="1">
      <c r="B553" s="31">
        <v>1</v>
      </c>
      <c r="C553" s="33" t="s">
        <v>595</v>
      </c>
      <c r="D553" s="41">
        <v>41992</v>
      </c>
      <c r="E553" s="41">
        <v>41996</v>
      </c>
      <c r="F553" s="36">
        <v>41998</v>
      </c>
      <c r="G553" s="37" t="s">
        <v>25</v>
      </c>
      <c r="H553" s="37" t="s">
        <v>64</v>
      </c>
      <c r="I553" s="37"/>
      <c r="J553" s="37"/>
    </row>
    <row r="554" spans="2:10" ht="29.25" hidden="1" customHeight="1">
      <c r="B554" s="31">
        <v>1</v>
      </c>
      <c r="C554" s="33" t="s">
        <v>565</v>
      </c>
      <c r="D554" s="41">
        <v>41977</v>
      </c>
      <c r="E554" s="41">
        <v>41978</v>
      </c>
      <c r="F554" s="36">
        <v>41978</v>
      </c>
      <c r="G554" s="37" t="s">
        <v>26</v>
      </c>
      <c r="H554" s="37" t="s">
        <v>13</v>
      </c>
      <c r="I554" s="37"/>
      <c r="J554" s="37"/>
    </row>
    <row r="555" spans="2:10" ht="29.25" hidden="1" customHeight="1">
      <c r="B555" s="31">
        <v>1</v>
      </c>
      <c r="C555" s="33" t="s">
        <v>585</v>
      </c>
      <c r="D555" s="41">
        <v>41989</v>
      </c>
      <c r="E555" s="41">
        <v>41990</v>
      </c>
      <c r="F555" s="36">
        <v>41992</v>
      </c>
      <c r="G555" s="37" t="s">
        <v>26</v>
      </c>
      <c r="H555" s="37" t="s">
        <v>13</v>
      </c>
      <c r="I555" s="37"/>
      <c r="J555" s="37"/>
    </row>
    <row r="556" spans="2:10" ht="29.25" hidden="1" customHeight="1">
      <c r="B556" s="31">
        <v>1</v>
      </c>
      <c r="C556" s="33" t="s">
        <v>530</v>
      </c>
      <c r="D556" s="41">
        <v>41950</v>
      </c>
      <c r="E556" s="41">
        <v>42064</v>
      </c>
      <c r="F556" s="36">
        <v>42066</v>
      </c>
      <c r="G556" s="37" t="s">
        <v>26</v>
      </c>
      <c r="H556" s="37" t="s">
        <v>89</v>
      </c>
      <c r="I556" s="37"/>
      <c r="J556" s="37"/>
    </row>
    <row r="557" spans="2:10" ht="29.25" hidden="1" customHeight="1">
      <c r="B557" s="31">
        <v>1</v>
      </c>
      <c r="C557" s="33" t="s">
        <v>599</v>
      </c>
      <c r="D557" s="41">
        <v>41992</v>
      </c>
      <c r="E557" s="41">
        <v>41997</v>
      </c>
      <c r="F557" s="36">
        <v>42004</v>
      </c>
      <c r="G557" s="37" t="s">
        <v>25</v>
      </c>
      <c r="H557" s="37" t="s">
        <v>88</v>
      </c>
      <c r="I557" s="37"/>
      <c r="J557" s="37"/>
    </row>
    <row r="558" spans="2:10" ht="29.25" hidden="1" customHeight="1">
      <c r="B558" s="31">
        <v>1</v>
      </c>
      <c r="C558" s="47" t="s">
        <v>600</v>
      </c>
      <c r="D558" s="41">
        <v>41995</v>
      </c>
      <c r="E558" s="41">
        <v>41998</v>
      </c>
      <c r="F558" s="36">
        <v>41998</v>
      </c>
      <c r="G558" s="37" t="s">
        <v>25</v>
      </c>
      <c r="H558" s="37" t="s">
        <v>64</v>
      </c>
      <c r="I558" s="37"/>
      <c r="J558" s="37"/>
    </row>
    <row r="559" spans="2:10" ht="29.25" hidden="1" customHeight="1">
      <c r="B559" s="31">
        <v>1</v>
      </c>
      <c r="C559" s="33" t="s">
        <v>601</v>
      </c>
      <c r="D559" s="41">
        <v>41996</v>
      </c>
      <c r="E559" s="41">
        <v>41998</v>
      </c>
      <c r="F559" s="36">
        <v>41999</v>
      </c>
      <c r="G559" s="37" t="s">
        <v>26</v>
      </c>
      <c r="H559" s="37" t="s">
        <v>568</v>
      </c>
      <c r="I559" s="37"/>
      <c r="J559" s="37"/>
    </row>
    <row r="560" spans="2:10" ht="29.25" hidden="1" customHeight="1">
      <c r="B560" s="31">
        <v>1</v>
      </c>
      <c r="C560" s="33" t="s">
        <v>602</v>
      </c>
      <c r="D560" s="41">
        <v>41998</v>
      </c>
      <c r="E560" s="41">
        <v>42001</v>
      </c>
      <c r="F560" s="36">
        <v>42001</v>
      </c>
      <c r="G560" s="37" t="s">
        <v>24</v>
      </c>
      <c r="H560" s="37" t="s">
        <v>209</v>
      </c>
      <c r="I560" s="36">
        <v>42086</v>
      </c>
      <c r="J560" s="37"/>
    </row>
    <row r="561" spans="2:10" ht="29.25" hidden="1" customHeight="1">
      <c r="B561" s="31">
        <v>1</v>
      </c>
      <c r="C561" s="33" t="s">
        <v>617</v>
      </c>
      <c r="D561" s="41">
        <v>42004</v>
      </c>
      <c r="E561" s="41">
        <v>42013</v>
      </c>
      <c r="F561" s="36">
        <v>42013</v>
      </c>
      <c r="G561" s="37" t="s">
        <v>25</v>
      </c>
      <c r="H561" s="37" t="s">
        <v>169</v>
      </c>
      <c r="I561" s="36">
        <v>42017</v>
      </c>
      <c r="J561" s="37"/>
    </row>
    <row r="562" spans="2:10" ht="29.25" hidden="1" customHeight="1">
      <c r="B562" s="31">
        <v>1</v>
      </c>
      <c r="C562" s="33" t="s">
        <v>618</v>
      </c>
      <c r="D562" s="41">
        <v>42012</v>
      </c>
      <c r="E562" s="41">
        <v>42013</v>
      </c>
      <c r="F562" s="36">
        <v>42018</v>
      </c>
      <c r="G562" s="37" t="s">
        <v>25</v>
      </c>
      <c r="H562" s="37" t="s">
        <v>34</v>
      </c>
      <c r="I562" s="36">
        <v>42017</v>
      </c>
      <c r="J562" s="37"/>
    </row>
    <row r="563" spans="2:10" ht="29.25" hidden="1" customHeight="1">
      <c r="B563" s="31">
        <v>1</v>
      </c>
      <c r="C563" s="33" t="s">
        <v>619</v>
      </c>
      <c r="D563" s="41">
        <v>42012</v>
      </c>
      <c r="E563" s="41">
        <v>42013</v>
      </c>
      <c r="F563" s="36">
        <v>42018</v>
      </c>
      <c r="G563" s="37" t="s">
        <v>25</v>
      </c>
      <c r="H563" s="37" t="s">
        <v>34</v>
      </c>
      <c r="I563" s="36">
        <v>42017</v>
      </c>
      <c r="J563" s="37"/>
    </row>
    <row r="564" spans="2:10" ht="29.25" hidden="1" customHeight="1">
      <c r="B564" s="31">
        <v>1</v>
      </c>
      <c r="C564" s="33" t="s">
        <v>603</v>
      </c>
      <c r="D564" s="41">
        <v>42013</v>
      </c>
      <c r="E564" s="41">
        <v>42018</v>
      </c>
      <c r="F564" s="36">
        <v>42018</v>
      </c>
      <c r="G564" s="37" t="s">
        <v>25</v>
      </c>
      <c r="H564" s="37" t="s">
        <v>511</v>
      </c>
      <c r="I564" s="37"/>
      <c r="J564" s="37"/>
    </row>
    <row r="565" spans="2:10" ht="29.25" hidden="1" customHeight="1">
      <c r="B565" s="31">
        <v>1</v>
      </c>
      <c r="C565" s="33" t="s">
        <v>604</v>
      </c>
      <c r="D565" s="41">
        <v>42013</v>
      </c>
      <c r="E565" s="41">
        <v>42017</v>
      </c>
      <c r="F565" s="36">
        <v>42024</v>
      </c>
      <c r="G565" s="37" t="s">
        <v>25</v>
      </c>
      <c r="H565" s="37" t="s">
        <v>15</v>
      </c>
      <c r="I565" s="37"/>
      <c r="J565" s="37"/>
    </row>
    <row r="566" spans="2:10" ht="29.25" hidden="1" customHeight="1">
      <c r="B566" s="31">
        <v>1</v>
      </c>
      <c r="C566" s="33" t="s">
        <v>605</v>
      </c>
      <c r="D566" s="41">
        <v>42013</v>
      </c>
      <c r="E566" s="41">
        <v>42017</v>
      </c>
      <c r="F566" s="36">
        <v>42024</v>
      </c>
      <c r="G566" s="37" t="s">
        <v>25</v>
      </c>
      <c r="H566" s="37" t="s">
        <v>15</v>
      </c>
      <c r="I566" s="37"/>
      <c r="J566" s="37"/>
    </row>
    <row r="567" spans="2:10" ht="29.25" hidden="1" customHeight="1">
      <c r="B567" s="31">
        <v>1</v>
      </c>
      <c r="C567" s="33" t="s">
        <v>606</v>
      </c>
      <c r="D567" s="41">
        <v>42013</v>
      </c>
      <c r="E567" s="41">
        <v>42017</v>
      </c>
      <c r="F567" s="36">
        <v>42020</v>
      </c>
      <c r="G567" s="37" t="s">
        <v>25</v>
      </c>
      <c r="H567" s="37" t="s">
        <v>470</v>
      </c>
      <c r="I567" s="37"/>
      <c r="J567" s="37"/>
    </row>
    <row r="568" spans="2:10" ht="29.25" hidden="1" customHeight="1">
      <c r="B568" s="31">
        <v>1</v>
      </c>
      <c r="C568" s="33" t="s">
        <v>607</v>
      </c>
      <c r="D568" s="41">
        <v>42017</v>
      </c>
      <c r="E568" s="41">
        <v>42017</v>
      </c>
      <c r="F568" s="36">
        <v>42017</v>
      </c>
      <c r="G568" s="37" t="s">
        <v>24</v>
      </c>
      <c r="H568" s="37" t="s">
        <v>470</v>
      </c>
      <c r="I568" s="37"/>
      <c r="J568" s="37"/>
    </row>
    <row r="569" spans="2:10" ht="29.25" hidden="1" customHeight="1">
      <c r="B569" s="31">
        <v>1</v>
      </c>
      <c r="C569" s="33" t="s">
        <v>608</v>
      </c>
      <c r="D569" s="41">
        <v>42017</v>
      </c>
      <c r="E569" s="41">
        <v>42018</v>
      </c>
      <c r="F569" s="36">
        <v>42020</v>
      </c>
      <c r="G569" s="37" t="s">
        <v>25</v>
      </c>
      <c r="H569" s="37" t="s">
        <v>491</v>
      </c>
      <c r="I569" s="37"/>
      <c r="J569" s="37"/>
    </row>
    <row r="570" spans="2:10" ht="29.25" hidden="1" customHeight="1">
      <c r="B570" s="31">
        <v>1</v>
      </c>
      <c r="C570" s="33" t="s">
        <v>609</v>
      </c>
      <c r="D570" s="41">
        <v>42017</v>
      </c>
      <c r="E570" s="41">
        <v>42017</v>
      </c>
      <c r="F570" s="36">
        <v>42024</v>
      </c>
      <c r="G570" s="37" t="s">
        <v>25</v>
      </c>
      <c r="H570" s="37" t="s">
        <v>34</v>
      </c>
      <c r="I570" s="37"/>
      <c r="J570" s="37"/>
    </row>
    <row r="571" spans="2:10" ht="29.25" hidden="1" customHeight="1">
      <c r="B571" s="31">
        <v>1</v>
      </c>
      <c r="C571" s="33" t="s">
        <v>627</v>
      </c>
      <c r="D571" s="41">
        <v>42017</v>
      </c>
      <c r="E571" s="41">
        <v>42018</v>
      </c>
      <c r="F571" s="36">
        <v>42018</v>
      </c>
      <c r="G571" s="37" t="s">
        <v>25</v>
      </c>
      <c r="H571" s="37" t="s">
        <v>470</v>
      </c>
      <c r="I571" s="37"/>
      <c r="J571" s="37"/>
    </row>
    <row r="572" spans="2:10" ht="29.25" hidden="1" customHeight="1">
      <c r="B572" s="31">
        <v>1</v>
      </c>
      <c r="C572" s="33" t="s">
        <v>633</v>
      </c>
      <c r="D572" s="41">
        <v>42017</v>
      </c>
      <c r="E572" s="41">
        <v>42018</v>
      </c>
      <c r="F572" s="36">
        <v>42020</v>
      </c>
      <c r="G572" s="37" t="s">
        <v>25</v>
      </c>
      <c r="H572" s="37" t="s">
        <v>437</v>
      </c>
      <c r="I572" s="36">
        <v>42019</v>
      </c>
      <c r="J572" s="37"/>
    </row>
    <row r="573" spans="2:10" ht="29.25" hidden="1" customHeight="1">
      <c r="B573" s="31">
        <v>1</v>
      </c>
      <c r="C573" s="33" t="s">
        <v>628</v>
      </c>
      <c r="D573" s="41">
        <v>42017</v>
      </c>
      <c r="E573" s="41">
        <v>42018</v>
      </c>
      <c r="F573" s="36">
        <v>42018</v>
      </c>
      <c r="G573" s="37" t="s">
        <v>24</v>
      </c>
      <c r="H573" s="37" t="s">
        <v>458</v>
      </c>
      <c r="I573" s="37"/>
      <c r="J573" s="37"/>
    </row>
    <row r="574" spans="2:10" ht="29.25" hidden="1" customHeight="1">
      <c r="B574" s="31">
        <v>1</v>
      </c>
      <c r="C574" s="33" t="s">
        <v>632</v>
      </c>
      <c r="D574" s="41">
        <v>42018</v>
      </c>
      <c r="E574" s="41">
        <v>42024</v>
      </c>
      <c r="F574" s="36">
        <v>42033</v>
      </c>
      <c r="G574" s="37" t="s">
        <v>24</v>
      </c>
      <c r="H574" s="37" t="s">
        <v>34</v>
      </c>
      <c r="I574" s="36">
        <v>42019</v>
      </c>
      <c r="J574" s="37"/>
    </row>
    <row r="575" spans="2:10" ht="29.25" hidden="1" customHeight="1">
      <c r="B575" s="31">
        <v>1</v>
      </c>
      <c r="C575" s="33" t="s">
        <v>631</v>
      </c>
      <c r="D575" s="41">
        <v>42018</v>
      </c>
      <c r="E575" s="41">
        <v>42018</v>
      </c>
      <c r="F575" s="36">
        <v>42020</v>
      </c>
      <c r="G575" s="37" t="s">
        <v>25</v>
      </c>
      <c r="H575" s="37" t="s">
        <v>629</v>
      </c>
      <c r="I575" s="36">
        <v>42019</v>
      </c>
      <c r="J575" s="37"/>
    </row>
    <row r="576" spans="2:10" ht="29.25" hidden="1" customHeight="1">
      <c r="B576" s="31">
        <v>1</v>
      </c>
      <c r="C576" s="33" t="s">
        <v>630</v>
      </c>
      <c r="D576" s="41">
        <v>42019</v>
      </c>
      <c r="E576" s="41">
        <v>42019</v>
      </c>
      <c r="F576" s="36">
        <v>42025</v>
      </c>
      <c r="G576" s="37" t="s">
        <v>25</v>
      </c>
      <c r="H576" s="37" t="s">
        <v>89</v>
      </c>
      <c r="I576" s="36">
        <v>42019</v>
      </c>
      <c r="J576" s="37"/>
    </row>
    <row r="577" spans="2:10" ht="29.25" hidden="1" customHeight="1">
      <c r="B577" s="31">
        <v>1</v>
      </c>
      <c r="C577" s="33" t="s">
        <v>634</v>
      </c>
      <c r="D577" s="41">
        <v>42020</v>
      </c>
      <c r="E577" s="41">
        <v>42023</v>
      </c>
      <c r="F577" s="36">
        <v>42025</v>
      </c>
      <c r="G577" s="37" t="s">
        <v>25</v>
      </c>
      <c r="H577" s="37" t="s">
        <v>89</v>
      </c>
      <c r="I577" s="37"/>
      <c r="J577" s="37"/>
    </row>
    <row r="578" spans="2:10" ht="29.25" hidden="1" customHeight="1">
      <c r="B578" s="31">
        <v>1</v>
      </c>
      <c r="C578" s="33" t="s">
        <v>635</v>
      </c>
      <c r="D578" s="41">
        <v>42023</v>
      </c>
      <c r="E578" s="41">
        <v>42023</v>
      </c>
      <c r="F578" s="36">
        <v>42023</v>
      </c>
      <c r="G578" s="37" t="s">
        <v>24</v>
      </c>
      <c r="H578" s="37" t="s">
        <v>209</v>
      </c>
      <c r="I578" s="36">
        <v>42086</v>
      </c>
      <c r="J578" s="37"/>
    </row>
    <row r="579" spans="2:10" ht="92.25" hidden="1" customHeight="1">
      <c r="B579" s="31">
        <v>1</v>
      </c>
      <c r="C579" s="33" t="s">
        <v>636</v>
      </c>
      <c r="D579" s="41">
        <v>42023</v>
      </c>
      <c r="E579" s="41">
        <v>42024</v>
      </c>
      <c r="F579" s="36">
        <v>42032</v>
      </c>
      <c r="G579" s="37" t="s">
        <v>25</v>
      </c>
      <c r="H579" s="37" t="s">
        <v>34</v>
      </c>
      <c r="I579" s="37"/>
      <c r="J579" s="37"/>
    </row>
    <row r="580" spans="2:10" ht="29.25" hidden="1" customHeight="1">
      <c r="B580" s="31">
        <v>1</v>
      </c>
      <c r="C580" s="33" t="s">
        <v>637</v>
      </c>
      <c r="D580" s="41">
        <v>42024</v>
      </c>
      <c r="E580" s="41">
        <v>42024</v>
      </c>
      <c r="F580" s="36">
        <v>42024</v>
      </c>
      <c r="G580" s="37" t="s">
        <v>26</v>
      </c>
      <c r="H580" s="37" t="s">
        <v>470</v>
      </c>
      <c r="I580" s="37"/>
      <c r="J580" s="37"/>
    </row>
    <row r="581" spans="2:10" ht="29.25" hidden="1" customHeight="1">
      <c r="B581" s="31">
        <v>1</v>
      </c>
      <c r="C581" s="33" t="s">
        <v>638</v>
      </c>
      <c r="D581" s="41">
        <v>42025</v>
      </c>
      <c r="E581" s="41">
        <v>42025</v>
      </c>
      <c r="F581" s="36">
        <v>42025</v>
      </c>
      <c r="G581" s="37" t="s">
        <v>25</v>
      </c>
      <c r="H581" s="37" t="s">
        <v>470</v>
      </c>
      <c r="I581" s="37"/>
      <c r="J581" s="37"/>
    </row>
    <row r="582" spans="2:10" ht="29.25" hidden="1" customHeight="1">
      <c r="B582" s="31">
        <v>1</v>
      </c>
      <c r="C582" s="33" t="s">
        <v>639</v>
      </c>
      <c r="D582" s="41">
        <v>42025</v>
      </c>
      <c r="E582" s="41">
        <v>42029</v>
      </c>
      <c r="F582" s="36">
        <v>42029</v>
      </c>
      <c r="G582" s="37" t="s">
        <v>24</v>
      </c>
      <c r="H582" s="37" t="s">
        <v>209</v>
      </c>
      <c r="I582" s="36">
        <v>42086</v>
      </c>
      <c r="J582" s="37"/>
    </row>
    <row r="583" spans="2:10" ht="29.25" hidden="1" customHeight="1">
      <c r="B583" s="31">
        <v>1</v>
      </c>
      <c r="C583" s="33" t="s">
        <v>640</v>
      </c>
      <c r="D583" s="41">
        <v>42025</v>
      </c>
      <c r="E583" s="41">
        <v>42029</v>
      </c>
      <c r="F583" s="36">
        <v>42029</v>
      </c>
      <c r="G583" s="37" t="s">
        <v>24</v>
      </c>
      <c r="H583" s="37" t="s">
        <v>209</v>
      </c>
      <c r="I583" s="36">
        <v>42086</v>
      </c>
      <c r="J583" s="37"/>
    </row>
    <row r="584" spans="2:10" ht="64.5" hidden="1" customHeight="1">
      <c r="B584" s="31">
        <v>1</v>
      </c>
      <c r="C584" s="33" t="s">
        <v>641</v>
      </c>
      <c r="D584" s="41">
        <v>42026</v>
      </c>
      <c r="E584" s="41">
        <v>42027</v>
      </c>
      <c r="F584" s="36">
        <v>42027</v>
      </c>
      <c r="G584" s="37" t="s">
        <v>25</v>
      </c>
      <c r="H584" s="37" t="s">
        <v>470</v>
      </c>
      <c r="I584" s="37"/>
      <c r="J584" s="37"/>
    </row>
    <row r="585" spans="2:10" ht="42" hidden="1" customHeight="1">
      <c r="B585" s="40">
        <v>1</v>
      </c>
      <c r="C585" s="32" t="s">
        <v>642</v>
      </c>
      <c r="D585" s="58">
        <v>42026</v>
      </c>
      <c r="E585" s="58">
        <v>42031</v>
      </c>
      <c r="F585" s="38">
        <v>42031</v>
      </c>
      <c r="G585" s="39" t="s">
        <v>25</v>
      </c>
      <c r="H585" s="39" t="s">
        <v>248</v>
      </c>
      <c r="I585" s="39"/>
      <c r="J585" s="39"/>
    </row>
    <row r="586" spans="2:10" ht="34.5" hidden="1" customHeight="1">
      <c r="B586" s="40">
        <v>1</v>
      </c>
      <c r="C586" s="32" t="s">
        <v>643</v>
      </c>
      <c r="D586" s="58">
        <v>42027</v>
      </c>
      <c r="E586" s="58">
        <v>42031</v>
      </c>
      <c r="F586" s="38">
        <v>42052</v>
      </c>
      <c r="G586" s="39" t="s">
        <v>25</v>
      </c>
      <c r="H586" s="39" t="s">
        <v>34</v>
      </c>
      <c r="I586" s="39"/>
      <c r="J586" s="39"/>
    </row>
    <row r="587" spans="2:10" ht="48" hidden="1" customHeight="1">
      <c r="B587" s="40">
        <v>1</v>
      </c>
      <c r="C587" s="32" t="s">
        <v>644</v>
      </c>
      <c r="D587" s="58">
        <v>42044</v>
      </c>
      <c r="E587" s="58">
        <v>42045</v>
      </c>
      <c r="F587" s="38">
        <v>42045</v>
      </c>
      <c r="G587" s="39" t="s">
        <v>24</v>
      </c>
      <c r="H587" s="39" t="s">
        <v>34</v>
      </c>
      <c r="I587" s="39"/>
      <c r="J587" s="39"/>
    </row>
    <row r="588" spans="2:10" ht="63.75" hidden="1" customHeight="1">
      <c r="B588" s="31">
        <v>1</v>
      </c>
      <c r="C588" s="33" t="s">
        <v>645</v>
      </c>
      <c r="D588" s="41">
        <v>42044</v>
      </c>
      <c r="E588" s="41">
        <v>42046</v>
      </c>
      <c r="F588" s="36">
        <v>42046</v>
      </c>
      <c r="G588" s="37" t="s">
        <v>25</v>
      </c>
      <c r="H588" s="37" t="s">
        <v>21</v>
      </c>
      <c r="I588" s="37"/>
      <c r="J588" s="37"/>
    </row>
    <row r="589" spans="2:10" ht="45.75" hidden="1" customHeight="1">
      <c r="B589" s="31">
        <v>1</v>
      </c>
      <c r="C589" s="33" t="s">
        <v>646</v>
      </c>
      <c r="D589" s="41">
        <v>42051</v>
      </c>
      <c r="E589" s="41">
        <v>42055</v>
      </c>
      <c r="F589" s="36">
        <v>42055</v>
      </c>
      <c r="G589" s="37" t="s">
        <v>25</v>
      </c>
      <c r="H589" s="37" t="s">
        <v>13</v>
      </c>
      <c r="I589" s="37"/>
      <c r="J589" s="37"/>
    </row>
    <row r="590" spans="2:10" ht="36.75" hidden="1" customHeight="1">
      <c r="B590" s="31">
        <v>1</v>
      </c>
      <c r="C590" s="33" t="s">
        <v>647</v>
      </c>
      <c r="D590" s="41">
        <v>42066</v>
      </c>
      <c r="E590" s="41">
        <v>42071</v>
      </c>
      <c r="F590" s="36">
        <v>42071</v>
      </c>
      <c r="G590" s="37" t="s">
        <v>24</v>
      </c>
      <c r="H590" s="37" t="s">
        <v>209</v>
      </c>
      <c r="I590" s="36">
        <v>42128</v>
      </c>
      <c r="J590" s="37"/>
    </row>
    <row r="591" spans="2:10" ht="39.75" hidden="1" customHeight="1">
      <c r="B591" s="31">
        <v>1</v>
      </c>
      <c r="C591" s="33" t="s">
        <v>659</v>
      </c>
      <c r="D591" s="41">
        <v>42066</v>
      </c>
      <c r="E591" s="41">
        <v>42071</v>
      </c>
      <c r="F591" s="36">
        <v>42099</v>
      </c>
      <c r="G591" s="37" t="s">
        <v>24</v>
      </c>
      <c r="H591" s="37" t="s">
        <v>209</v>
      </c>
      <c r="I591" s="36">
        <v>42128</v>
      </c>
      <c r="J591" s="37"/>
    </row>
    <row r="592" spans="2:10" ht="66.75" hidden="1" customHeight="1">
      <c r="B592" s="31">
        <v>1</v>
      </c>
      <c r="C592" s="33" t="s">
        <v>648</v>
      </c>
      <c r="D592" s="41">
        <v>42067</v>
      </c>
      <c r="E592" s="41">
        <v>42071</v>
      </c>
      <c r="F592" s="36">
        <v>42094</v>
      </c>
      <c r="G592" s="37" t="s">
        <v>24</v>
      </c>
      <c r="H592" s="37" t="s">
        <v>209</v>
      </c>
      <c r="I592" s="36">
        <v>42086</v>
      </c>
      <c r="J592" s="37"/>
    </row>
    <row r="593" spans="2:10" ht="86.25" hidden="1" customHeight="1">
      <c r="B593" s="31">
        <v>1</v>
      </c>
      <c r="C593" s="33" t="s">
        <v>649</v>
      </c>
      <c r="D593" s="41">
        <v>42068</v>
      </c>
      <c r="E593" s="41">
        <v>42071</v>
      </c>
      <c r="F593" s="36">
        <v>42071</v>
      </c>
      <c r="G593" s="37" t="s">
        <v>24</v>
      </c>
      <c r="H593" s="37" t="s">
        <v>209</v>
      </c>
      <c r="I593" s="36">
        <v>42086</v>
      </c>
      <c r="J593" s="37"/>
    </row>
    <row r="594" spans="2:10" ht="54" hidden="1" customHeight="1">
      <c r="B594" s="31">
        <v>1</v>
      </c>
      <c r="C594" s="33" t="s">
        <v>650</v>
      </c>
      <c r="D594" s="41">
        <v>42068</v>
      </c>
      <c r="E594" s="41">
        <v>42071</v>
      </c>
      <c r="F594" s="36">
        <v>42071</v>
      </c>
      <c r="G594" s="37" t="s">
        <v>24</v>
      </c>
      <c r="H594" s="37" t="s">
        <v>209</v>
      </c>
      <c r="I594" s="36">
        <v>42086</v>
      </c>
      <c r="J594" s="37"/>
    </row>
    <row r="595" spans="2:10" ht="48" hidden="1" customHeight="1">
      <c r="B595" s="31">
        <v>1</v>
      </c>
      <c r="C595" s="33" t="s">
        <v>651</v>
      </c>
      <c r="D595" s="41">
        <v>42075</v>
      </c>
      <c r="E595" s="41">
        <v>42076</v>
      </c>
      <c r="F595" s="36">
        <v>42076</v>
      </c>
      <c r="G595" s="37" t="s">
        <v>25</v>
      </c>
      <c r="H595" s="37" t="s">
        <v>511</v>
      </c>
      <c r="I595" s="37"/>
      <c r="J595" s="37"/>
    </row>
    <row r="596" spans="2:10" ht="67.5" hidden="1" customHeight="1">
      <c r="B596" s="31">
        <v>1</v>
      </c>
      <c r="C596" s="33" t="s">
        <v>652</v>
      </c>
      <c r="D596" s="41">
        <v>42082</v>
      </c>
      <c r="E596" s="41">
        <v>42082</v>
      </c>
      <c r="F596" s="36">
        <v>42089</v>
      </c>
      <c r="G596" s="37" t="s">
        <v>25</v>
      </c>
      <c r="H596" s="37" t="s">
        <v>13</v>
      </c>
      <c r="I596" s="37"/>
      <c r="J596" s="37"/>
    </row>
    <row r="597" spans="2:10" ht="46.5" hidden="1" customHeight="1">
      <c r="B597" s="31">
        <v>1</v>
      </c>
      <c r="C597" s="33" t="s">
        <v>653</v>
      </c>
      <c r="D597" s="41">
        <v>42086</v>
      </c>
      <c r="E597" s="41">
        <v>42104</v>
      </c>
      <c r="F597" s="36">
        <v>42097</v>
      </c>
      <c r="G597" s="37" t="s">
        <v>24</v>
      </c>
      <c r="H597" s="37" t="s">
        <v>34</v>
      </c>
      <c r="I597" s="37"/>
      <c r="J597" s="37"/>
    </row>
    <row r="598" spans="2:10" ht="48.75" hidden="1" customHeight="1">
      <c r="B598" s="31">
        <v>1</v>
      </c>
      <c r="C598" s="33" t="s">
        <v>654</v>
      </c>
      <c r="D598" s="41">
        <v>42088</v>
      </c>
      <c r="E598" s="41">
        <v>42092</v>
      </c>
      <c r="F598" s="36">
        <v>42092</v>
      </c>
      <c r="G598" s="37" t="s">
        <v>24</v>
      </c>
      <c r="H598" s="37" t="s">
        <v>209</v>
      </c>
      <c r="I598" s="36">
        <v>42128</v>
      </c>
      <c r="J598" s="37"/>
    </row>
    <row r="599" spans="2:10" ht="29.25" hidden="1" customHeight="1">
      <c r="B599" s="31">
        <v>1</v>
      </c>
      <c r="C599" s="33" t="s">
        <v>655</v>
      </c>
      <c r="D599" s="41">
        <v>42094</v>
      </c>
      <c r="E599" s="41">
        <v>42095</v>
      </c>
      <c r="F599" s="36">
        <v>42095</v>
      </c>
      <c r="G599" s="37" t="s">
        <v>24</v>
      </c>
      <c r="H599" s="37" t="s">
        <v>17</v>
      </c>
      <c r="I599" s="37"/>
      <c r="J599" s="37"/>
    </row>
    <row r="600" spans="2:10" ht="60.75" hidden="1" customHeight="1">
      <c r="B600" s="31">
        <v>1</v>
      </c>
      <c r="C600" s="33" t="s">
        <v>657</v>
      </c>
      <c r="D600" s="41">
        <v>42094</v>
      </c>
      <c r="E600" s="41">
        <v>42095</v>
      </c>
      <c r="F600" s="36">
        <v>42095</v>
      </c>
      <c r="G600" s="37" t="s">
        <v>24</v>
      </c>
      <c r="H600" s="37" t="s">
        <v>15</v>
      </c>
      <c r="I600" s="37"/>
      <c r="J600" s="37"/>
    </row>
    <row r="601" spans="2:10" ht="63.75" hidden="1" customHeight="1">
      <c r="B601" s="31">
        <v>1</v>
      </c>
      <c r="C601" s="33" t="s">
        <v>656</v>
      </c>
      <c r="D601" s="41">
        <v>42094</v>
      </c>
      <c r="E601" s="41">
        <v>42095</v>
      </c>
      <c r="F601" s="36">
        <v>42095</v>
      </c>
      <c r="G601" s="37" t="s">
        <v>24</v>
      </c>
      <c r="H601" s="37" t="s">
        <v>57</v>
      </c>
      <c r="I601" s="37"/>
      <c r="J601" s="37"/>
    </row>
    <row r="602" spans="2:10" ht="45" hidden="1" customHeight="1">
      <c r="B602" s="31">
        <v>1</v>
      </c>
      <c r="C602" s="33" t="s">
        <v>658</v>
      </c>
      <c r="D602" s="41">
        <v>42094</v>
      </c>
      <c r="E602" s="41">
        <v>42095</v>
      </c>
      <c r="F602" s="36">
        <v>42095</v>
      </c>
      <c r="G602" s="37" t="s">
        <v>24</v>
      </c>
      <c r="H602" s="37" t="s">
        <v>185</v>
      </c>
      <c r="I602" s="37"/>
      <c r="J602" s="37"/>
    </row>
    <row r="603" spans="2:10" ht="72" hidden="1" customHeight="1">
      <c r="B603" s="31">
        <v>1</v>
      </c>
      <c r="C603" s="33" t="s">
        <v>660</v>
      </c>
      <c r="D603" s="41">
        <v>42107</v>
      </c>
      <c r="E603" s="41">
        <v>42107</v>
      </c>
      <c r="F603" s="36">
        <v>42107</v>
      </c>
      <c r="G603" s="37" t="s">
        <v>24</v>
      </c>
      <c r="H603" s="37" t="s">
        <v>209</v>
      </c>
      <c r="I603" s="36">
        <v>42128</v>
      </c>
      <c r="J603" s="37"/>
    </row>
    <row r="604" spans="2:10" ht="45" hidden="1" customHeight="1">
      <c r="B604" s="31">
        <v>1</v>
      </c>
      <c r="C604" s="33" t="s">
        <v>661</v>
      </c>
      <c r="D604" s="41">
        <v>42107</v>
      </c>
      <c r="E604" s="41">
        <v>42107</v>
      </c>
      <c r="F604" s="36">
        <v>42107</v>
      </c>
      <c r="G604" s="37" t="s">
        <v>24</v>
      </c>
      <c r="H604" s="37" t="s">
        <v>209</v>
      </c>
      <c r="I604" s="36">
        <v>42128</v>
      </c>
      <c r="J604" s="37"/>
    </row>
    <row r="605" spans="2:10" ht="57.75" hidden="1" customHeight="1">
      <c r="B605" s="31">
        <v>1</v>
      </c>
      <c r="C605" s="33" t="s">
        <v>662</v>
      </c>
      <c r="D605" s="41">
        <v>42107</v>
      </c>
      <c r="E605" s="41">
        <v>42109</v>
      </c>
      <c r="F605" s="36">
        <v>42111</v>
      </c>
      <c r="G605" s="37" t="s">
        <v>25</v>
      </c>
      <c r="H605" s="37" t="s">
        <v>13</v>
      </c>
      <c r="I605" s="37"/>
      <c r="J605" s="37"/>
    </row>
    <row r="606" spans="2:10" ht="29.25" hidden="1" customHeight="1">
      <c r="B606" s="31">
        <v>1</v>
      </c>
      <c r="C606" s="33" t="s">
        <v>663</v>
      </c>
      <c r="D606" s="41">
        <v>42107</v>
      </c>
      <c r="E606" s="41">
        <v>42107</v>
      </c>
      <c r="F606" s="36">
        <v>42107</v>
      </c>
      <c r="G606" s="37" t="s">
        <v>24</v>
      </c>
      <c r="H606" s="37" t="s">
        <v>209</v>
      </c>
      <c r="I606" s="36">
        <v>42128</v>
      </c>
      <c r="J606" s="37"/>
    </row>
    <row r="607" spans="2:10" ht="60" hidden="1" customHeight="1">
      <c r="B607" s="31">
        <v>1</v>
      </c>
      <c r="C607" s="33" t="s">
        <v>674</v>
      </c>
      <c r="D607" s="41">
        <v>42134</v>
      </c>
      <c r="E607" s="41">
        <v>42135</v>
      </c>
      <c r="F607" s="36">
        <v>42135</v>
      </c>
      <c r="G607" s="37" t="s">
        <v>25</v>
      </c>
      <c r="H607" s="37" t="s">
        <v>34</v>
      </c>
      <c r="I607" s="36">
        <v>42135</v>
      </c>
      <c r="J607" s="37"/>
    </row>
    <row r="608" spans="2:10" ht="46.5" hidden="1" customHeight="1">
      <c r="B608" s="31">
        <v>1</v>
      </c>
      <c r="C608" s="33" t="s">
        <v>678</v>
      </c>
      <c r="D608" s="41">
        <v>42135</v>
      </c>
      <c r="E608" s="41">
        <v>42135</v>
      </c>
      <c r="F608" s="36">
        <v>42135</v>
      </c>
      <c r="G608" s="37" t="s">
        <v>25</v>
      </c>
      <c r="H608" s="37" t="s">
        <v>34</v>
      </c>
      <c r="I608" s="36">
        <v>42136</v>
      </c>
      <c r="J608" s="37"/>
    </row>
    <row r="609" spans="2:10" ht="56.25" hidden="1" customHeight="1">
      <c r="B609" s="31">
        <v>1</v>
      </c>
      <c r="C609" s="33" t="s">
        <v>671</v>
      </c>
      <c r="D609" s="41">
        <v>42128</v>
      </c>
      <c r="E609" s="41">
        <v>42131</v>
      </c>
      <c r="F609" s="36">
        <v>42139</v>
      </c>
      <c r="G609" s="37" t="s">
        <v>25</v>
      </c>
      <c r="H609" s="37" t="s">
        <v>13</v>
      </c>
      <c r="I609" s="36">
        <v>42131</v>
      </c>
      <c r="J609" s="37" t="s">
        <v>669</v>
      </c>
    </row>
    <row r="610" spans="2:10" ht="63.75" hidden="1" customHeight="1">
      <c r="B610" s="31">
        <v>1</v>
      </c>
      <c r="C610" s="33" t="s">
        <v>672</v>
      </c>
      <c r="D610" s="41">
        <v>42128</v>
      </c>
      <c r="E610" s="41">
        <v>42131</v>
      </c>
      <c r="F610" s="36">
        <v>42132</v>
      </c>
      <c r="G610" s="37" t="s">
        <v>25</v>
      </c>
      <c r="H610" s="37" t="s">
        <v>13</v>
      </c>
      <c r="I610" s="36">
        <v>42131</v>
      </c>
      <c r="J610" s="37" t="s">
        <v>669</v>
      </c>
    </row>
    <row r="611" spans="2:10" ht="60.75" hidden="1" customHeight="1">
      <c r="B611" s="31">
        <v>1</v>
      </c>
      <c r="C611" s="33" t="s">
        <v>693</v>
      </c>
      <c r="D611" s="41">
        <v>42136</v>
      </c>
      <c r="E611" s="41">
        <v>42143</v>
      </c>
      <c r="F611" s="36">
        <v>42144</v>
      </c>
      <c r="G611" s="37" t="s">
        <v>25</v>
      </c>
      <c r="H611" s="37" t="s">
        <v>185</v>
      </c>
      <c r="I611" s="36">
        <v>42146</v>
      </c>
      <c r="J611" s="37"/>
    </row>
    <row r="612" spans="2:10" ht="29.25" hidden="1" customHeight="1">
      <c r="B612" s="31">
        <v>1</v>
      </c>
      <c r="C612" s="33" t="s">
        <v>677</v>
      </c>
      <c r="D612" s="41">
        <v>42131</v>
      </c>
      <c r="E612" s="41">
        <v>42135</v>
      </c>
      <c r="F612" s="36">
        <v>42139</v>
      </c>
      <c r="G612" s="37" t="s">
        <v>25</v>
      </c>
      <c r="H612" s="37" t="s">
        <v>670</v>
      </c>
      <c r="I612" s="36">
        <v>42135</v>
      </c>
      <c r="J612" s="37"/>
    </row>
    <row r="613" spans="2:10" ht="29.25" hidden="1" customHeight="1">
      <c r="B613" s="31">
        <v>1</v>
      </c>
      <c r="C613" s="33" t="s">
        <v>675</v>
      </c>
      <c r="D613" s="41">
        <v>42131</v>
      </c>
      <c r="E613" s="41">
        <v>42137</v>
      </c>
      <c r="F613" s="36">
        <v>42153</v>
      </c>
      <c r="G613" s="37" t="s">
        <v>25</v>
      </c>
      <c r="H613" s="37" t="s">
        <v>470</v>
      </c>
      <c r="I613" s="36">
        <v>42137</v>
      </c>
      <c r="J613" s="37"/>
    </row>
    <row r="614" spans="2:10" ht="29.25" hidden="1" customHeight="1">
      <c r="B614" s="31">
        <v>1</v>
      </c>
      <c r="C614" s="33" t="s">
        <v>673</v>
      </c>
      <c r="D614" s="41">
        <v>42129</v>
      </c>
      <c r="E614" s="41">
        <v>42132</v>
      </c>
      <c r="F614" s="36">
        <v>42132</v>
      </c>
      <c r="G614" s="37" t="s">
        <v>24</v>
      </c>
      <c r="H614" s="37" t="s">
        <v>57</v>
      </c>
      <c r="I614" s="36">
        <v>42132</v>
      </c>
      <c r="J614" s="37"/>
    </row>
    <row r="615" spans="2:10" ht="51.75" hidden="1" customHeight="1">
      <c r="B615" s="31">
        <v>1</v>
      </c>
      <c r="C615" s="33" t="s">
        <v>676</v>
      </c>
      <c r="D615" s="41">
        <v>42131</v>
      </c>
      <c r="E615" s="41">
        <v>42136</v>
      </c>
      <c r="F615" s="36">
        <v>42153</v>
      </c>
      <c r="G615" s="37" t="s">
        <v>25</v>
      </c>
      <c r="H615" s="37" t="s">
        <v>470</v>
      </c>
      <c r="I615" s="36">
        <v>42136</v>
      </c>
      <c r="J615" s="37"/>
    </row>
    <row r="616" spans="2:10" ht="57.75" hidden="1" customHeight="1">
      <c r="B616" s="31">
        <v>1</v>
      </c>
      <c r="C616" s="33" t="s">
        <v>689</v>
      </c>
      <c r="D616" s="41">
        <v>42128</v>
      </c>
      <c r="E616" s="41">
        <v>42143</v>
      </c>
      <c r="F616" s="36">
        <v>42144</v>
      </c>
      <c r="G616" s="37" t="s">
        <v>24</v>
      </c>
      <c r="H616" s="37" t="s">
        <v>34</v>
      </c>
      <c r="I616" s="36">
        <v>42142</v>
      </c>
      <c r="J616" s="37" t="s">
        <v>669</v>
      </c>
    </row>
    <row r="617" spans="2:10" ht="77.25" hidden="1" customHeight="1">
      <c r="B617" s="31">
        <v>1</v>
      </c>
      <c r="C617" s="33" t="s">
        <v>682</v>
      </c>
      <c r="D617" s="41">
        <v>42131</v>
      </c>
      <c r="E617" s="41">
        <v>42138</v>
      </c>
      <c r="F617" s="36">
        <v>42139</v>
      </c>
      <c r="G617" s="37" t="s">
        <v>25</v>
      </c>
      <c r="H617" s="37" t="s">
        <v>185</v>
      </c>
      <c r="I617" s="36">
        <v>42137</v>
      </c>
      <c r="J617" s="37"/>
    </row>
    <row r="618" spans="2:10" ht="83.25" hidden="1" customHeight="1">
      <c r="B618" s="31">
        <v>1</v>
      </c>
      <c r="C618" s="33" t="s">
        <v>711</v>
      </c>
      <c r="D618" s="41">
        <v>42151</v>
      </c>
      <c r="E618" s="41">
        <v>42156</v>
      </c>
      <c r="F618" s="36">
        <v>42160</v>
      </c>
      <c r="G618" s="37" t="s">
        <v>25</v>
      </c>
      <c r="H618" s="37" t="s">
        <v>185</v>
      </c>
      <c r="I618" s="36">
        <v>42156</v>
      </c>
      <c r="J618" s="37"/>
    </row>
    <row r="619" spans="2:10" ht="63" hidden="1" customHeight="1">
      <c r="B619" s="40">
        <v>1</v>
      </c>
      <c r="C619" s="33" t="s">
        <v>746</v>
      </c>
      <c r="D619" s="41">
        <v>42172</v>
      </c>
      <c r="E619" s="41">
        <v>42174</v>
      </c>
      <c r="F619" s="36">
        <v>42178</v>
      </c>
      <c r="G619" s="37" t="s">
        <v>24</v>
      </c>
      <c r="H619" s="37" t="s">
        <v>16</v>
      </c>
      <c r="I619" s="37"/>
      <c r="J619" s="37"/>
    </row>
    <row r="620" spans="2:10" ht="36.75" hidden="1" customHeight="1">
      <c r="B620" s="31">
        <v>1</v>
      </c>
      <c r="C620" s="33" t="s">
        <v>691</v>
      </c>
      <c r="D620" s="41">
        <v>42130</v>
      </c>
      <c r="E620" s="41">
        <v>42143</v>
      </c>
      <c r="F620" s="36">
        <v>42146</v>
      </c>
      <c r="G620" s="37" t="s">
        <v>25</v>
      </c>
      <c r="H620" s="37" t="s">
        <v>34</v>
      </c>
      <c r="I620" s="36">
        <v>42146</v>
      </c>
      <c r="J620" s="37"/>
    </row>
    <row r="621" spans="2:10" ht="54.75" hidden="1" customHeight="1">
      <c r="B621" s="31">
        <v>1</v>
      </c>
      <c r="C621" s="33" t="s">
        <v>679</v>
      </c>
      <c r="D621" s="41">
        <v>42135</v>
      </c>
      <c r="E621" s="41">
        <v>42136</v>
      </c>
      <c r="F621" s="36">
        <v>42137</v>
      </c>
      <c r="G621" s="37" t="s">
        <v>25</v>
      </c>
      <c r="H621" s="37" t="s">
        <v>245</v>
      </c>
      <c r="I621" s="36">
        <v>42136</v>
      </c>
      <c r="J621" s="37"/>
    </row>
    <row r="622" spans="2:10" ht="29.25" hidden="1" customHeight="1">
      <c r="B622" s="31">
        <v>1</v>
      </c>
      <c r="C622" s="33" t="s">
        <v>680</v>
      </c>
      <c r="D622" s="41">
        <v>42135</v>
      </c>
      <c r="E622" s="41">
        <v>42136</v>
      </c>
      <c r="F622" s="36">
        <v>42136</v>
      </c>
      <c r="G622" s="37" t="s">
        <v>24</v>
      </c>
      <c r="H622" s="37" t="s">
        <v>511</v>
      </c>
      <c r="I622" s="36">
        <v>42136</v>
      </c>
      <c r="J622" s="37"/>
    </row>
    <row r="623" spans="2:10" ht="58.5" hidden="1" customHeight="1">
      <c r="B623" s="31">
        <v>1</v>
      </c>
      <c r="C623" s="47" t="s">
        <v>722</v>
      </c>
      <c r="D623" s="41">
        <v>42131</v>
      </c>
      <c r="E623" s="41">
        <v>42158</v>
      </c>
      <c r="F623" s="36">
        <v>42160</v>
      </c>
      <c r="G623" s="37" t="s">
        <v>24</v>
      </c>
      <c r="H623" s="37" t="s">
        <v>327</v>
      </c>
      <c r="I623" s="36">
        <v>42160</v>
      </c>
      <c r="J623" s="37"/>
    </row>
    <row r="624" spans="2:10" ht="70.5" hidden="1" customHeight="1">
      <c r="B624" s="31">
        <v>1</v>
      </c>
      <c r="C624" s="33" t="s">
        <v>703</v>
      </c>
      <c r="D624" s="41">
        <v>42132</v>
      </c>
      <c r="E624" s="41">
        <v>42150</v>
      </c>
      <c r="F624" s="36">
        <v>42150</v>
      </c>
      <c r="G624" s="37" t="s">
        <v>25</v>
      </c>
      <c r="H624" s="37" t="s">
        <v>34</v>
      </c>
      <c r="I624" s="36">
        <v>42156</v>
      </c>
      <c r="J624" s="37"/>
    </row>
    <row r="625" spans="2:10" ht="52.5" hidden="1" customHeight="1">
      <c r="B625" s="31">
        <v>1</v>
      </c>
      <c r="C625" s="33" t="s">
        <v>687</v>
      </c>
      <c r="D625" s="41">
        <v>42135</v>
      </c>
      <c r="E625" s="41">
        <v>42139</v>
      </c>
      <c r="F625" s="36">
        <v>42146</v>
      </c>
      <c r="G625" s="37" t="s">
        <v>25</v>
      </c>
      <c r="H625" s="37" t="s">
        <v>34</v>
      </c>
      <c r="I625" s="36">
        <v>42139</v>
      </c>
      <c r="J625" s="37"/>
    </row>
    <row r="626" spans="2:10" ht="46.5" hidden="1" customHeight="1">
      <c r="B626" s="31">
        <v>1</v>
      </c>
      <c r="C626" s="47" t="s">
        <v>688</v>
      </c>
      <c r="D626" s="41">
        <v>42136</v>
      </c>
      <c r="E626" s="41">
        <v>42139</v>
      </c>
      <c r="F626" s="36">
        <v>42145</v>
      </c>
      <c r="G626" s="37" t="s">
        <v>25</v>
      </c>
      <c r="H626" s="37" t="s">
        <v>34</v>
      </c>
      <c r="I626" s="36">
        <v>42139</v>
      </c>
      <c r="J626" s="37"/>
    </row>
    <row r="627" spans="2:10" ht="29.25" hidden="1" customHeight="1">
      <c r="B627" s="31">
        <v>1</v>
      </c>
      <c r="C627" s="33" t="s">
        <v>683</v>
      </c>
      <c r="D627" s="41">
        <v>42137</v>
      </c>
      <c r="E627" s="41">
        <v>42138</v>
      </c>
      <c r="F627" s="36">
        <v>42139</v>
      </c>
      <c r="G627" s="37" t="s">
        <v>24</v>
      </c>
      <c r="H627" s="37" t="s">
        <v>327</v>
      </c>
      <c r="I627" s="36">
        <v>42138</v>
      </c>
      <c r="J627" s="37"/>
    </row>
    <row r="628" spans="2:10" ht="29.25" hidden="1" customHeight="1">
      <c r="B628" s="31">
        <v>1</v>
      </c>
      <c r="C628" s="33" t="s">
        <v>690</v>
      </c>
      <c r="D628" s="41">
        <v>42137</v>
      </c>
      <c r="E628" s="41">
        <v>42142</v>
      </c>
      <c r="F628" s="36">
        <v>42146</v>
      </c>
      <c r="G628" s="37" t="s">
        <v>24</v>
      </c>
      <c r="H628" s="37" t="s">
        <v>34</v>
      </c>
      <c r="I628" s="36">
        <v>42142</v>
      </c>
      <c r="J628" s="37"/>
    </row>
    <row r="629" spans="2:10" ht="46.5" hidden="1" customHeight="1">
      <c r="B629" s="31">
        <v>1</v>
      </c>
      <c r="C629" s="33" t="s">
        <v>684</v>
      </c>
      <c r="D629" s="41">
        <v>42137</v>
      </c>
      <c r="E629" s="41">
        <v>42138</v>
      </c>
      <c r="F629" s="36">
        <v>42138</v>
      </c>
      <c r="G629" s="37" t="s">
        <v>25</v>
      </c>
      <c r="H629" s="37" t="s">
        <v>13</v>
      </c>
      <c r="I629" s="36">
        <v>42138</v>
      </c>
      <c r="J629" s="37"/>
    </row>
    <row r="630" spans="2:10" ht="63" hidden="1" customHeight="1">
      <c r="B630" s="31">
        <v>1</v>
      </c>
      <c r="C630" s="33" t="s">
        <v>708</v>
      </c>
      <c r="D630" s="41">
        <v>42137</v>
      </c>
      <c r="E630" s="41">
        <v>42156</v>
      </c>
      <c r="F630" s="36">
        <v>42153</v>
      </c>
      <c r="G630" s="37" t="s">
        <v>24</v>
      </c>
      <c r="H630" s="37" t="s">
        <v>15</v>
      </c>
      <c r="I630" s="36">
        <v>42156</v>
      </c>
      <c r="J630" s="37"/>
    </row>
    <row r="631" spans="2:10" ht="68.25" hidden="1" customHeight="1">
      <c r="B631" s="31">
        <v>1</v>
      </c>
      <c r="C631" s="33" t="s">
        <v>712</v>
      </c>
      <c r="D631" s="41">
        <v>42151</v>
      </c>
      <c r="E631" s="41">
        <v>42156</v>
      </c>
      <c r="F631" s="36">
        <v>42160</v>
      </c>
      <c r="G631" s="37" t="s">
        <v>25</v>
      </c>
      <c r="H631" s="37" t="s">
        <v>185</v>
      </c>
      <c r="I631" s="36">
        <v>42156</v>
      </c>
      <c r="J631" s="37"/>
    </row>
    <row r="632" spans="2:10" ht="29.25" hidden="1" customHeight="1">
      <c r="B632" s="31">
        <v>1</v>
      </c>
      <c r="C632" s="33" t="s">
        <v>686</v>
      </c>
      <c r="D632" s="41">
        <v>42138</v>
      </c>
      <c r="E632" s="41">
        <v>42139</v>
      </c>
      <c r="F632" s="36">
        <v>42139</v>
      </c>
      <c r="G632" s="37" t="s">
        <v>25</v>
      </c>
      <c r="H632" s="37" t="s">
        <v>185</v>
      </c>
      <c r="I632" s="36">
        <v>42138</v>
      </c>
      <c r="J632" s="37"/>
    </row>
    <row r="633" spans="2:10" ht="54" hidden="1" customHeight="1">
      <c r="B633" s="40">
        <v>1</v>
      </c>
      <c r="C633" s="33" t="s">
        <v>729</v>
      </c>
      <c r="D633" s="41">
        <v>42163</v>
      </c>
      <c r="E633" s="41">
        <v>42180</v>
      </c>
      <c r="F633" s="36">
        <v>42181</v>
      </c>
      <c r="G633" s="37" t="s">
        <v>25</v>
      </c>
      <c r="H633" s="37" t="s">
        <v>39</v>
      </c>
      <c r="I633" s="37"/>
      <c r="J633" s="37"/>
    </row>
    <row r="634" spans="2:10" ht="46.5" hidden="1" customHeight="1">
      <c r="B634" s="31">
        <v>1</v>
      </c>
      <c r="C634" s="33" t="s">
        <v>723</v>
      </c>
      <c r="D634" s="41">
        <v>42152</v>
      </c>
      <c r="E634" s="41">
        <v>42156</v>
      </c>
      <c r="F634" s="36">
        <v>42160</v>
      </c>
      <c r="G634" s="37" t="s">
        <v>25</v>
      </c>
      <c r="H634" s="37" t="s">
        <v>681</v>
      </c>
      <c r="I634" s="36">
        <v>42160</v>
      </c>
      <c r="J634" s="37"/>
    </row>
    <row r="635" spans="2:10" ht="43.5" hidden="1" customHeight="1">
      <c r="B635" s="31">
        <v>1</v>
      </c>
      <c r="C635" s="33" t="s">
        <v>748</v>
      </c>
      <c r="D635" s="41">
        <v>42153</v>
      </c>
      <c r="E635" s="41">
        <v>42170</v>
      </c>
      <c r="F635" s="36">
        <v>42174</v>
      </c>
      <c r="G635" s="37" t="s">
        <v>24</v>
      </c>
      <c r="H635" s="37" t="s">
        <v>185</v>
      </c>
      <c r="I635" s="36">
        <v>42178</v>
      </c>
      <c r="J635" s="37"/>
    </row>
    <row r="636" spans="2:10" ht="66" hidden="1" customHeight="1">
      <c r="B636" s="31">
        <v>1</v>
      </c>
      <c r="C636" s="33" t="s">
        <v>724</v>
      </c>
      <c r="D636" s="41">
        <v>42138</v>
      </c>
      <c r="E636" s="41">
        <v>42157</v>
      </c>
      <c r="F636" s="36">
        <v>42160</v>
      </c>
      <c r="G636" s="37" t="s">
        <v>25</v>
      </c>
      <c r="H636" s="37" t="s">
        <v>685</v>
      </c>
      <c r="I636" s="36">
        <v>42160</v>
      </c>
      <c r="J636" s="37"/>
    </row>
    <row r="637" spans="2:10" ht="42.75" hidden="1" customHeight="1">
      <c r="B637" s="31">
        <v>1</v>
      </c>
      <c r="C637" s="33" t="s">
        <v>725</v>
      </c>
      <c r="D637" s="41">
        <v>42139</v>
      </c>
      <c r="E637" s="41">
        <v>42157</v>
      </c>
      <c r="F637" s="36">
        <v>42160</v>
      </c>
      <c r="G637" s="37" t="s">
        <v>25</v>
      </c>
      <c r="H637" s="37" t="s">
        <v>685</v>
      </c>
      <c r="I637" s="36">
        <v>42160</v>
      </c>
      <c r="J637" s="37"/>
    </row>
    <row r="638" spans="2:10" ht="52.5" hidden="1" customHeight="1">
      <c r="B638" s="31">
        <v>1</v>
      </c>
      <c r="C638" s="47" t="s">
        <v>720</v>
      </c>
      <c r="D638" s="41">
        <v>42131</v>
      </c>
      <c r="E638" s="41">
        <v>42158</v>
      </c>
      <c r="F638" s="36">
        <v>42160</v>
      </c>
      <c r="G638" s="37" t="s">
        <v>25</v>
      </c>
      <c r="H638" s="37" t="s">
        <v>185</v>
      </c>
      <c r="I638" s="36">
        <v>42159</v>
      </c>
      <c r="J638" s="37"/>
    </row>
    <row r="639" spans="2:10" ht="57" hidden="1" customHeight="1">
      <c r="B639" s="40">
        <v>1</v>
      </c>
      <c r="C639" s="33" t="s">
        <v>766</v>
      </c>
      <c r="D639" s="41">
        <v>42171</v>
      </c>
      <c r="E639" s="41">
        <v>42188</v>
      </c>
      <c r="F639" s="36">
        <v>42195</v>
      </c>
      <c r="G639" s="37" t="s">
        <v>24</v>
      </c>
      <c r="H639" s="37" t="s">
        <v>209</v>
      </c>
      <c r="I639" s="37"/>
      <c r="J639" s="37"/>
    </row>
    <row r="640" spans="2:10" ht="29.25" hidden="1" customHeight="1">
      <c r="B640" s="31">
        <v>1</v>
      </c>
      <c r="C640" s="33" t="s">
        <v>715</v>
      </c>
      <c r="D640" s="41">
        <v>42157</v>
      </c>
      <c r="E640" s="41">
        <v>42158</v>
      </c>
      <c r="F640" s="36">
        <v>42160</v>
      </c>
      <c r="G640" s="37" t="s">
        <v>25</v>
      </c>
      <c r="H640" s="37" t="s">
        <v>185</v>
      </c>
      <c r="I640" s="36">
        <v>42160</v>
      </c>
      <c r="J640" s="37"/>
    </row>
    <row r="641" spans="2:10" ht="57" hidden="1" customHeight="1">
      <c r="B641" s="40">
        <v>1</v>
      </c>
      <c r="C641" s="33" t="s">
        <v>757</v>
      </c>
      <c r="D641" s="41">
        <v>42135</v>
      </c>
      <c r="E641" s="41">
        <v>42184</v>
      </c>
      <c r="F641" s="36">
        <v>42195</v>
      </c>
      <c r="G641" s="37" t="s">
        <v>25</v>
      </c>
      <c r="H641" s="37" t="s">
        <v>34</v>
      </c>
      <c r="I641" s="37"/>
      <c r="J641" s="37"/>
    </row>
    <row r="642" spans="2:10" ht="45" hidden="1" customHeight="1">
      <c r="B642" s="31">
        <v>1</v>
      </c>
      <c r="C642" s="33" t="s">
        <v>731</v>
      </c>
      <c r="D642" s="41">
        <v>42158</v>
      </c>
      <c r="E642" s="41">
        <v>42163</v>
      </c>
      <c r="F642" s="36">
        <v>42164</v>
      </c>
      <c r="G642" s="37" t="s">
        <v>24</v>
      </c>
      <c r="H642" s="37" t="s">
        <v>34</v>
      </c>
      <c r="I642" s="36">
        <v>42163</v>
      </c>
      <c r="J642" s="37"/>
    </row>
    <row r="643" spans="2:10" ht="54.75" hidden="1" customHeight="1">
      <c r="B643" s="31">
        <v>1</v>
      </c>
      <c r="C643" s="33" t="s">
        <v>726</v>
      </c>
      <c r="D643" s="41">
        <v>42156</v>
      </c>
      <c r="E643" s="41">
        <v>42160</v>
      </c>
      <c r="F643" s="36">
        <v>42160</v>
      </c>
      <c r="G643" s="37" t="s">
        <v>24</v>
      </c>
      <c r="H643" s="37" t="s">
        <v>34</v>
      </c>
      <c r="I643" s="36">
        <v>42160</v>
      </c>
      <c r="J643" s="37"/>
    </row>
    <row r="644" spans="2:10" ht="54.75" hidden="1" customHeight="1">
      <c r="B644" s="31">
        <v>1</v>
      </c>
      <c r="C644" s="33" t="s">
        <v>749</v>
      </c>
      <c r="D644" s="41">
        <v>42139</v>
      </c>
      <c r="E644" s="41">
        <v>42171</v>
      </c>
      <c r="F644" s="36">
        <v>42171</v>
      </c>
      <c r="G644" s="37" t="s">
        <v>24</v>
      </c>
      <c r="H644" s="37" t="s">
        <v>327</v>
      </c>
      <c r="I644" s="36">
        <v>42178</v>
      </c>
      <c r="J644" s="37"/>
    </row>
    <row r="645" spans="2:10" ht="42" hidden="1" customHeight="1">
      <c r="B645" s="40">
        <v>1</v>
      </c>
      <c r="C645" s="47" t="s">
        <v>754</v>
      </c>
      <c r="D645" s="41">
        <v>42136</v>
      </c>
      <c r="E645" s="41">
        <v>42179</v>
      </c>
      <c r="F645" s="36">
        <v>42188</v>
      </c>
      <c r="G645" s="37" t="s">
        <v>25</v>
      </c>
      <c r="H645" s="37" t="s">
        <v>80</v>
      </c>
      <c r="I645" s="37"/>
      <c r="J645" s="37"/>
    </row>
    <row r="646" spans="2:10" ht="71.25" hidden="1" customHeight="1">
      <c r="B646" s="31">
        <v>1</v>
      </c>
      <c r="C646" s="47" t="s">
        <v>727</v>
      </c>
      <c r="D646" s="41">
        <v>42128</v>
      </c>
      <c r="E646" s="41">
        <v>42160</v>
      </c>
      <c r="F646" s="36">
        <v>42167</v>
      </c>
      <c r="G646" s="37" t="s">
        <v>24</v>
      </c>
      <c r="H646" s="37" t="s">
        <v>34</v>
      </c>
      <c r="I646" s="36">
        <v>42160</v>
      </c>
      <c r="J646" s="37" t="s">
        <v>669</v>
      </c>
    </row>
    <row r="647" spans="2:10" ht="58.5" hidden="1" customHeight="1">
      <c r="B647" s="31">
        <v>1</v>
      </c>
      <c r="C647" s="33" t="s">
        <v>738</v>
      </c>
      <c r="D647" s="41">
        <v>42158</v>
      </c>
      <c r="E647" s="41">
        <v>42165</v>
      </c>
      <c r="F647" s="36">
        <v>42167</v>
      </c>
      <c r="G647" s="37" t="s">
        <v>25</v>
      </c>
      <c r="H647" s="37" t="s">
        <v>14</v>
      </c>
      <c r="I647" s="36">
        <v>42167</v>
      </c>
      <c r="J647" s="37"/>
    </row>
    <row r="648" spans="2:10" ht="42" hidden="1" customHeight="1">
      <c r="B648" s="31">
        <v>1</v>
      </c>
      <c r="C648" s="33" t="s">
        <v>739</v>
      </c>
      <c r="D648" s="41">
        <v>42137</v>
      </c>
      <c r="E648" s="41">
        <v>42164</v>
      </c>
      <c r="F648" s="36">
        <v>42164</v>
      </c>
      <c r="G648" s="37" t="s">
        <v>25</v>
      </c>
      <c r="H648" s="37" t="s">
        <v>88</v>
      </c>
      <c r="I648" s="36">
        <v>42167</v>
      </c>
      <c r="J648" s="37"/>
    </row>
    <row r="649" spans="2:10" ht="51.75" hidden="1" customHeight="1">
      <c r="B649" s="31">
        <v>1</v>
      </c>
      <c r="C649" s="33" t="s">
        <v>750</v>
      </c>
      <c r="D649" s="41">
        <v>42144</v>
      </c>
      <c r="E649" s="41">
        <v>42171</v>
      </c>
      <c r="F649" s="36">
        <v>42174</v>
      </c>
      <c r="G649" s="37" t="s">
        <v>24</v>
      </c>
      <c r="H649" s="37" t="s">
        <v>568</v>
      </c>
      <c r="I649" s="36">
        <v>42178</v>
      </c>
      <c r="J649" s="37"/>
    </row>
    <row r="650" spans="2:10" ht="74.25" hidden="1" customHeight="1">
      <c r="B650" s="31">
        <v>1</v>
      </c>
      <c r="C650" s="33" t="s">
        <v>751</v>
      </c>
      <c r="D650" s="41">
        <v>42159</v>
      </c>
      <c r="E650" s="41">
        <v>42171</v>
      </c>
      <c r="F650" s="36">
        <v>42174</v>
      </c>
      <c r="G650" s="37" t="s">
        <v>24</v>
      </c>
      <c r="H650" s="37" t="s">
        <v>14</v>
      </c>
      <c r="I650" s="36">
        <v>42178</v>
      </c>
      <c r="J650" s="37"/>
    </row>
    <row r="651" spans="2:10" ht="40.5" hidden="1" customHeight="1">
      <c r="B651" s="31">
        <v>1</v>
      </c>
      <c r="C651" s="33" t="s">
        <v>752</v>
      </c>
      <c r="D651" s="41">
        <v>42166</v>
      </c>
      <c r="E651" s="41">
        <v>42170</v>
      </c>
      <c r="F651" s="36">
        <v>42172</v>
      </c>
      <c r="G651" s="37" t="s">
        <v>24</v>
      </c>
      <c r="H651" s="37" t="s">
        <v>13</v>
      </c>
      <c r="I651" s="36">
        <v>42178</v>
      </c>
      <c r="J651" s="37"/>
    </row>
    <row r="652" spans="2:10" ht="50.25" hidden="1" customHeight="1">
      <c r="B652" s="40">
        <v>1</v>
      </c>
      <c r="C652" s="33" t="s">
        <v>740</v>
      </c>
      <c r="D652" s="41">
        <v>42132</v>
      </c>
      <c r="E652" s="41">
        <v>42179</v>
      </c>
      <c r="F652" s="36">
        <v>42188</v>
      </c>
      <c r="G652" s="37" t="s">
        <v>25</v>
      </c>
      <c r="H652" s="37" t="s">
        <v>185</v>
      </c>
      <c r="I652" s="37"/>
      <c r="J652" s="37"/>
    </row>
    <row r="653" spans="2:10" ht="47.25" hidden="1" customHeight="1">
      <c r="B653" s="40">
        <v>1</v>
      </c>
      <c r="C653" s="33" t="s">
        <v>737</v>
      </c>
      <c r="D653" s="41">
        <v>42132</v>
      </c>
      <c r="E653" s="41">
        <v>42193</v>
      </c>
      <c r="F653" s="36">
        <v>42251</v>
      </c>
      <c r="G653" s="37" t="s">
        <v>24</v>
      </c>
      <c r="H653" s="37" t="s">
        <v>13</v>
      </c>
      <c r="I653" s="37"/>
      <c r="J653" s="37"/>
    </row>
    <row r="654" spans="2:10" ht="37.5" hidden="1" customHeight="1">
      <c r="B654" s="31">
        <v>1</v>
      </c>
      <c r="C654" s="33" t="s">
        <v>728</v>
      </c>
      <c r="D654" s="41">
        <v>42158</v>
      </c>
      <c r="E654" s="41">
        <v>42160</v>
      </c>
      <c r="F654" s="36">
        <v>42167</v>
      </c>
      <c r="G654" s="37" t="s">
        <v>25</v>
      </c>
      <c r="H654" s="37" t="s">
        <v>185</v>
      </c>
      <c r="I654" s="36">
        <v>42160</v>
      </c>
      <c r="J654" s="37"/>
    </row>
    <row r="655" spans="2:10" ht="53.25" hidden="1" customHeight="1">
      <c r="B655" s="31">
        <v>1</v>
      </c>
      <c r="C655" s="33" t="s">
        <v>741</v>
      </c>
      <c r="D655" s="41">
        <v>42152</v>
      </c>
      <c r="E655" s="41">
        <v>42167</v>
      </c>
      <c r="F655" s="36">
        <v>42167</v>
      </c>
      <c r="G655" s="37" t="s">
        <v>26</v>
      </c>
      <c r="H655" s="37" t="s">
        <v>63</v>
      </c>
      <c r="I655" s="36">
        <v>42167</v>
      </c>
      <c r="J655" s="37"/>
    </row>
    <row r="656" spans="2:10" ht="46.5" hidden="1" customHeight="1">
      <c r="B656" s="40">
        <v>1</v>
      </c>
      <c r="C656" s="33" t="s">
        <v>753</v>
      </c>
      <c r="D656" s="41">
        <v>42166</v>
      </c>
      <c r="E656" s="41">
        <v>42186</v>
      </c>
      <c r="F656" s="36">
        <v>42195</v>
      </c>
      <c r="G656" s="37" t="s">
        <v>24</v>
      </c>
      <c r="H656" s="37" t="s">
        <v>14</v>
      </c>
      <c r="I656" s="37"/>
      <c r="J656" s="37"/>
    </row>
    <row r="657" spans="2:10" ht="45.75" hidden="1" customHeight="1">
      <c r="B657" s="31">
        <v>1</v>
      </c>
      <c r="C657" s="33" t="s">
        <v>717</v>
      </c>
      <c r="D657" s="41">
        <v>42158</v>
      </c>
      <c r="E657" s="41">
        <v>42160</v>
      </c>
      <c r="F657" s="36">
        <v>42167</v>
      </c>
      <c r="G657" s="37" t="s">
        <v>26</v>
      </c>
      <c r="H657" s="37" t="s">
        <v>13</v>
      </c>
      <c r="I657" s="36">
        <v>42160</v>
      </c>
      <c r="J657" s="37"/>
    </row>
    <row r="658" spans="2:10" ht="63" hidden="1" customHeight="1">
      <c r="B658" s="31">
        <v>1</v>
      </c>
      <c r="C658" s="47" t="s">
        <v>701</v>
      </c>
      <c r="D658" s="41">
        <v>42131</v>
      </c>
      <c r="E658" s="41">
        <v>42174</v>
      </c>
      <c r="F658" s="36">
        <v>42181</v>
      </c>
      <c r="G658" s="37" t="s">
        <v>26</v>
      </c>
      <c r="H658" s="37" t="s">
        <v>470</v>
      </c>
      <c r="I658" s="36">
        <v>42178</v>
      </c>
      <c r="J658" s="37"/>
    </row>
    <row r="659" spans="2:10" ht="29.25" hidden="1" customHeight="1">
      <c r="B659" s="40">
        <v>1</v>
      </c>
      <c r="C659" s="33" t="s">
        <v>763</v>
      </c>
      <c r="D659" s="41">
        <v>42156</v>
      </c>
      <c r="E659" s="41">
        <v>42188</v>
      </c>
      <c r="F659" s="36">
        <v>42195</v>
      </c>
      <c r="G659" s="37" t="s">
        <v>24</v>
      </c>
      <c r="H659" s="37" t="s">
        <v>34</v>
      </c>
      <c r="I659" s="37"/>
      <c r="J659" s="37"/>
    </row>
    <row r="660" spans="2:10" ht="29.25" hidden="1" customHeight="1">
      <c r="B660" s="31">
        <v>1</v>
      </c>
      <c r="C660" s="33" t="s">
        <v>755</v>
      </c>
      <c r="D660" s="41">
        <v>42158</v>
      </c>
      <c r="E660" s="41">
        <v>42170</v>
      </c>
      <c r="F660" s="36">
        <v>42174</v>
      </c>
      <c r="G660" s="37" t="s">
        <v>25</v>
      </c>
      <c r="H660" s="37" t="s">
        <v>718</v>
      </c>
      <c r="I660" s="36">
        <v>42178</v>
      </c>
      <c r="J660" s="37"/>
    </row>
    <row r="661" spans="2:10" ht="48.75" hidden="1" customHeight="1">
      <c r="B661" s="31">
        <v>1</v>
      </c>
      <c r="C661" s="33" t="s">
        <v>758</v>
      </c>
      <c r="D661" s="41">
        <v>42165</v>
      </c>
      <c r="E661" s="41">
        <v>42166</v>
      </c>
      <c r="F661" s="36">
        <v>42167</v>
      </c>
      <c r="G661" s="37" t="s">
        <v>25</v>
      </c>
      <c r="H661" s="37" t="s">
        <v>34</v>
      </c>
      <c r="I661" s="36">
        <v>42178</v>
      </c>
      <c r="J661" s="37"/>
    </row>
    <row r="662" spans="2:10" ht="29.25" hidden="1" customHeight="1">
      <c r="B662" s="31">
        <v>1</v>
      </c>
      <c r="C662" s="33" t="s">
        <v>742</v>
      </c>
      <c r="D662" s="41">
        <v>42165</v>
      </c>
      <c r="E662" s="41">
        <v>42171</v>
      </c>
      <c r="F662" s="36">
        <v>42174</v>
      </c>
      <c r="G662" s="37" t="s">
        <v>25</v>
      </c>
      <c r="H662" s="37" t="s">
        <v>122</v>
      </c>
      <c r="I662" s="36">
        <v>42178</v>
      </c>
      <c r="J662" s="37"/>
    </row>
    <row r="663" spans="2:10" ht="29.25" hidden="1" customHeight="1">
      <c r="B663" s="31">
        <v>1</v>
      </c>
      <c r="C663" s="33" t="s">
        <v>735</v>
      </c>
      <c r="D663" s="41">
        <v>42167</v>
      </c>
      <c r="E663" s="41">
        <v>42171</v>
      </c>
      <c r="F663" s="36">
        <v>42171</v>
      </c>
      <c r="G663" s="37" t="s">
        <v>25</v>
      </c>
      <c r="H663" s="37" t="s">
        <v>122</v>
      </c>
      <c r="I663" s="36">
        <v>42178</v>
      </c>
      <c r="J663" s="37"/>
    </row>
    <row r="664" spans="2:10" ht="29.25" hidden="1" customHeight="1">
      <c r="B664" s="31">
        <v>1</v>
      </c>
      <c r="C664" s="33" t="s">
        <v>716</v>
      </c>
      <c r="D664" s="41">
        <v>42158</v>
      </c>
      <c r="E664" s="41">
        <v>42171</v>
      </c>
      <c r="F664" s="36">
        <v>42174</v>
      </c>
      <c r="G664" s="37" t="s">
        <v>26</v>
      </c>
      <c r="H664" s="37" t="s">
        <v>14</v>
      </c>
      <c r="I664" s="36">
        <v>42178</v>
      </c>
      <c r="J664" s="37"/>
    </row>
    <row r="665" spans="2:10" ht="29.25" hidden="1" customHeight="1">
      <c r="B665" s="31">
        <v>1</v>
      </c>
      <c r="C665" s="33" t="s">
        <v>732</v>
      </c>
      <c r="D665" s="41">
        <v>42166</v>
      </c>
      <c r="E665" s="41">
        <v>42170</v>
      </c>
      <c r="F665" s="36">
        <v>42174</v>
      </c>
      <c r="G665" s="37" t="s">
        <v>26</v>
      </c>
      <c r="H665" s="37" t="s">
        <v>185</v>
      </c>
      <c r="I665" s="36">
        <v>42178</v>
      </c>
      <c r="J665" s="37"/>
    </row>
    <row r="666" spans="2:10" ht="29.25" hidden="1" customHeight="1">
      <c r="B666" s="31">
        <v>1</v>
      </c>
      <c r="C666" s="33" t="s">
        <v>743</v>
      </c>
      <c r="D666" s="41">
        <v>42170</v>
      </c>
      <c r="E666" s="41">
        <v>42170</v>
      </c>
      <c r="F666" s="36">
        <v>42171</v>
      </c>
      <c r="G666" s="37" t="s">
        <v>25</v>
      </c>
      <c r="H666" s="37" t="s">
        <v>34</v>
      </c>
      <c r="I666" s="36">
        <v>42178</v>
      </c>
      <c r="J666" s="37"/>
    </row>
    <row r="667" spans="2:10" ht="29.25" hidden="1" customHeight="1">
      <c r="B667" s="31">
        <v>1</v>
      </c>
      <c r="C667" s="33" t="s">
        <v>744</v>
      </c>
      <c r="D667" s="41">
        <v>42171</v>
      </c>
      <c r="E667" s="41">
        <v>42173</v>
      </c>
      <c r="F667" s="36">
        <v>42174</v>
      </c>
      <c r="G667" s="37" t="s">
        <v>25</v>
      </c>
      <c r="H667" s="37" t="s">
        <v>57</v>
      </c>
      <c r="I667" s="36">
        <v>42178</v>
      </c>
      <c r="J667" s="37"/>
    </row>
    <row r="668" spans="2:10" ht="29.25" hidden="1" customHeight="1">
      <c r="B668" s="40">
        <v>1</v>
      </c>
      <c r="C668" s="33" t="s">
        <v>764</v>
      </c>
      <c r="D668" s="41">
        <v>42139</v>
      </c>
      <c r="E668" s="41">
        <v>42188</v>
      </c>
      <c r="F668" s="36">
        <v>42188</v>
      </c>
      <c r="G668" s="37" t="s">
        <v>25</v>
      </c>
      <c r="H668" s="37" t="s">
        <v>40</v>
      </c>
      <c r="I668" s="37"/>
      <c r="J668" s="37"/>
    </row>
    <row r="669" spans="2:10" ht="29.25" hidden="1" customHeight="1">
      <c r="B669" s="40">
        <v>1</v>
      </c>
      <c r="C669" s="47" t="s">
        <v>765</v>
      </c>
      <c r="D669" s="41">
        <v>42132</v>
      </c>
      <c r="E669" s="41">
        <v>42187</v>
      </c>
      <c r="F669" s="36">
        <v>42188</v>
      </c>
      <c r="G669" s="37" t="s">
        <v>25</v>
      </c>
      <c r="H669" s="37" t="s">
        <v>34</v>
      </c>
      <c r="I669" s="37"/>
      <c r="J669" s="37"/>
    </row>
    <row r="670" spans="2:10" ht="29.25" hidden="1" customHeight="1">
      <c r="B670" s="31">
        <v>1</v>
      </c>
      <c r="C670" s="33" t="s">
        <v>762</v>
      </c>
      <c r="D670" s="41">
        <v>42171</v>
      </c>
      <c r="E670" s="41">
        <v>42180</v>
      </c>
      <c r="F670" s="36">
        <v>42188</v>
      </c>
      <c r="G670" s="37" t="s">
        <v>25</v>
      </c>
      <c r="H670" s="37" t="s">
        <v>17</v>
      </c>
      <c r="I670" s="36">
        <v>42184</v>
      </c>
      <c r="J670" s="37"/>
    </row>
    <row r="671" spans="2:10" ht="29.25" hidden="1" customHeight="1">
      <c r="B671" s="40">
        <v>1</v>
      </c>
      <c r="C671" s="33" t="s">
        <v>761</v>
      </c>
      <c r="D671" s="41">
        <v>42171</v>
      </c>
      <c r="E671" s="41">
        <v>42186</v>
      </c>
      <c r="F671" s="36">
        <v>42188</v>
      </c>
      <c r="G671" s="37" t="s">
        <v>25</v>
      </c>
      <c r="H671" s="37" t="s">
        <v>14</v>
      </c>
      <c r="I671" s="37" t="s">
        <v>745</v>
      </c>
      <c r="J671" s="37"/>
    </row>
    <row r="672" spans="2:10" ht="29.25" hidden="1" customHeight="1">
      <c r="B672" s="31">
        <v>1</v>
      </c>
      <c r="C672" s="33" t="s">
        <v>756</v>
      </c>
      <c r="D672" s="41">
        <v>42171</v>
      </c>
      <c r="E672" s="41">
        <v>42173</v>
      </c>
      <c r="F672" s="36">
        <v>42174</v>
      </c>
      <c r="G672" s="37" t="s">
        <v>25</v>
      </c>
      <c r="H672" s="37" t="s">
        <v>110</v>
      </c>
      <c r="I672" s="36">
        <v>42178</v>
      </c>
      <c r="J672" s="37"/>
    </row>
    <row r="673" spans="2:10" ht="29.25" hidden="1" customHeight="1">
      <c r="B673" s="40">
        <v>1</v>
      </c>
      <c r="C673" s="33" t="s">
        <v>760</v>
      </c>
      <c r="D673" s="41">
        <v>42171</v>
      </c>
      <c r="E673" s="41">
        <v>42186</v>
      </c>
      <c r="F673" s="36">
        <v>42188</v>
      </c>
      <c r="G673" s="37" t="s">
        <v>25</v>
      </c>
      <c r="H673" s="37" t="s">
        <v>248</v>
      </c>
      <c r="I673" s="37" t="s">
        <v>745</v>
      </c>
      <c r="J673" s="37"/>
    </row>
    <row r="674" spans="2:10" ht="29.25" hidden="1" customHeight="1">
      <c r="B674" s="40">
        <v>1</v>
      </c>
      <c r="C674" s="33" t="s">
        <v>759</v>
      </c>
      <c r="D674" s="41">
        <v>42179</v>
      </c>
      <c r="E674" s="41">
        <v>42186</v>
      </c>
      <c r="F674" s="36">
        <v>42188</v>
      </c>
      <c r="G674" s="37" t="s">
        <v>25</v>
      </c>
      <c r="H674" s="37" t="s">
        <v>13</v>
      </c>
      <c r="I674" s="37"/>
      <c r="J674" s="37"/>
    </row>
    <row r="675" spans="2:10" ht="29.25" hidden="1" customHeight="1">
      <c r="B675" s="31">
        <v>1</v>
      </c>
      <c r="C675" s="33" t="s">
        <v>772</v>
      </c>
      <c r="D675" s="41">
        <v>42185</v>
      </c>
      <c r="E675" s="41">
        <v>42187</v>
      </c>
      <c r="F675" s="36">
        <v>42187</v>
      </c>
      <c r="G675" s="37" t="s">
        <v>25</v>
      </c>
      <c r="H675" s="37" t="s">
        <v>34</v>
      </c>
      <c r="I675" s="36">
        <v>42200</v>
      </c>
      <c r="J675" s="37"/>
    </row>
    <row r="676" spans="2:10" ht="29.25" hidden="1" customHeight="1">
      <c r="B676" s="31">
        <v>1</v>
      </c>
      <c r="C676" s="33" t="s">
        <v>767</v>
      </c>
      <c r="D676" s="41">
        <v>42193</v>
      </c>
      <c r="E676" s="41">
        <v>42195</v>
      </c>
      <c r="F676" s="36">
        <v>42195</v>
      </c>
      <c r="G676" s="37" t="s">
        <v>25</v>
      </c>
      <c r="H676" s="37" t="s">
        <v>34</v>
      </c>
      <c r="I676" s="36">
        <v>42200</v>
      </c>
      <c r="J676" s="37"/>
    </row>
    <row r="677" spans="2:10" ht="29.25" hidden="1" customHeight="1">
      <c r="B677" s="40">
        <v>1</v>
      </c>
      <c r="C677" s="33" t="s">
        <v>768</v>
      </c>
      <c r="D677" s="41">
        <v>42195</v>
      </c>
      <c r="E677" s="41">
        <v>42198</v>
      </c>
      <c r="F677" s="36">
        <v>42198</v>
      </c>
      <c r="G677" s="37" t="s">
        <v>25</v>
      </c>
      <c r="H677" s="37" t="s">
        <v>14</v>
      </c>
      <c r="I677" s="37"/>
      <c r="J677" s="37"/>
    </row>
    <row r="678" spans="2:10" ht="29.25" hidden="1" customHeight="1">
      <c r="B678" s="40">
        <v>1</v>
      </c>
      <c r="C678" s="33" t="s">
        <v>769</v>
      </c>
      <c r="D678" s="41">
        <v>42198</v>
      </c>
      <c r="E678" s="41">
        <v>42200</v>
      </c>
      <c r="F678" s="36">
        <v>42200</v>
      </c>
      <c r="G678" s="37" t="s">
        <v>24</v>
      </c>
      <c r="H678" s="37" t="s">
        <v>13</v>
      </c>
      <c r="I678" s="37"/>
      <c r="J678" s="37"/>
    </row>
    <row r="679" spans="2:10" ht="29.25" hidden="1" customHeight="1">
      <c r="B679" s="40">
        <v>1</v>
      </c>
      <c r="C679" s="33" t="s">
        <v>770</v>
      </c>
      <c r="D679" s="41">
        <v>42200</v>
      </c>
      <c r="E679" s="41">
        <v>42201</v>
      </c>
      <c r="F679" s="36">
        <v>42201</v>
      </c>
      <c r="G679" s="37" t="s">
        <v>26</v>
      </c>
      <c r="H679" s="37" t="s">
        <v>13</v>
      </c>
      <c r="I679" s="37"/>
      <c r="J679" s="37"/>
    </row>
    <row r="680" spans="2:10" ht="29.25" hidden="1" customHeight="1">
      <c r="B680" s="40">
        <v>1</v>
      </c>
      <c r="C680" s="33" t="s">
        <v>771</v>
      </c>
      <c r="D680" s="41">
        <v>42200</v>
      </c>
      <c r="E680" s="41">
        <v>42201</v>
      </c>
      <c r="F680" s="36">
        <v>42201</v>
      </c>
      <c r="G680" s="37" t="s">
        <v>24</v>
      </c>
      <c r="H680" s="37" t="s">
        <v>34</v>
      </c>
      <c r="I680" s="37"/>
      <c r="J680" s="37"/>
    </row>
    <row r="681" spans="2:10" ht="29.25" hidden="1" customHeight="1">
      <c r="B681" s="40">
        <v>1</v>
      </c>
      <c r="C681" s="33" t="s">
        <v>773</v>
      </c>
      <c r="D681" s="41">
        <v>42202</v>
      </c>
      <c r="E681" s="41">
        <v>42205</v>
      </c>
      <c r="F681" s="36">
        <v>42207</v>
      </c>
      <c r="G681" s="37" t="s">
        <v>25</v>
      </c>
      <c r="H681" s="37" t="s">
        <v>34</v>
      </c>
      <c r="I681" s="36">
        <v>42214</v>
      </c>
      <c r="J681" s="37"/>
    </row>
    <row r="682" spans="2:10" ht="29.25" hidden="1" customHeight="1">
      <c r="B682" s="40">
        <v>1</v>
      </c>
      <c r="C682" s="33" t="s">
        <v>774</v>
      </c>
      <c r="D682" s="41">
        <v>42214</v>
      </c>
      <c r="E682" s="41">
        <v>42216</v>
      </c>
      <c r="F682" s="36">
        <v>42216</v>
      </c>
      <c r="G682" s="37" t="s">
        <v>24</v>
      </c>
      <c r="H682" s="37" t="s">
        <v>34</v>
      </c>
      <c r="I682" s="37"/>
      <c r="J682" s="37"/>
    </row>
    <row r="683" spans="2:10" ht="29.25" hidden="1" customHeight="1">
      <c r="B683" s="40">
        <v>1</v>
      </c>
      <c r="C683" s="33" t="s">
        <v>775</v>
      </c>
      <c r="D683" s="41">
        <v>42214</v>
      </c>
      <c r="E683" s="41">
        <v>42216</v>
      </c>
      <c r="F683" s="36">
        <v>42216</v>
      </c>
      <c r="G683" s="37" t="s">
        <v>24</v>
      </c>
      <c r="H683" s="37" t="s">
        <v>34</v>
      </c>
      <c r="I683" s="37"/>
      <c r="J683" s="37"/>
    </row>
    <row r="684" spans="2:10" ht="29.25" hidden="1" customHeight="1">
      <c r="B684" s="40">
        <v>1</v>
      </c>
      <c r="C684" s="33" t="s">
        <v>776</v>
      </c>
      <c r="D684" s="41">
        <v>42220</v>
      </c>
      <c r="E684" s="41">
        <v>42223</v>
      </c>
      <c r="F684" s="36">
        <v>42223</v>
      </c>
      <c r="G684" s="37" t="s">
        <v>24</v>
      </c>
      <c r="H684" s="37" t="s">
        <v>13</v>
      </c>
      <c r="I684" s="37"/>
      <c r="J684" s="37"/>
    </row>
    <row r="685" spans="2:10" ht="51.75" customHeight="1">
      <c r="B685" s="31"/>
      <c r="C685" s="33" t="s">
        <v>777</v>
      </c>
      <c r="D685" s="41">
        <v>42262</v>
      </c>
      <c r="E685" s="41">
        <v>42264</v>
      </c>
      <c r="F685" s="36">
        <v>42272</v>
      </c>
      <c r="G685" s="37" t="s">
        <v>24</v>
      </c>
      <c r="H685" s="37" t="s">
        <v>89</v>
      </c>
      <c r="I685" s="37"/>
      <c r="J685" s="37"/>
    </row>
    <row r="686" spans="2:10" ht="41.25" customHeight="1">
      <c r="B686" s="31"/>
      <c r="C686" s="33" t="s">
        <v>778</v>
      </c>
      <c r="D686" s="41">
        <v>42265</v>
      </c>
      <c r="E686" s="41">
        <v>42286</v>
      </c>
      <c r="F686" s="36">
        <v>42289</v>
      </c>
      <c r="G686" s="37" t="s">
        <v>25</v>
      </c>
      <c r="H686" s="37" t="s">
        <v>13</v>
      </c>
      <c r="I686" s="37"/>
      <c r="J686" s="37"/>
    </row>
  </sheetData>
  <mergeCells count="1">
    <mergeCell ref="B2:C2"/>
  </mergeCells>
  <conditionalFormatting sqref="C6:J686">
    <cfRule type="expression" dxfId="34" priority="10" stopIfTrue="1">
      <formula>$G6="00 Long Term"</formula>
    </cfRule>
    <cfRule type="expression" dxfId="33" priority="11" stopIfTrue="1">
      <formula>$B6=1</formula>
    </cfRule>
    <cfRule type="cellIs" dxfId="32" priority="12" operator="equal">
      <formula>"01 High"</formula>
    </cfRule>
    <cfRule type="expression" dxfId="31" priority="14" stopIfTrue="1">
      <formula>$F6=""</formula>
    </cfRule>
    <cfRule type="expression" dxfId="30" priority="15">
      <formula>AND($B6&lt;&gt;1,$F6&lt;TODAY())</formula>
    </cfRule>
    <cfRule type="expression" dxfId="29" priority="16" stopIfTrue="1">
      <formula>AND($B6&lt;&gt;1,($F6)=TODAY())</formula>
    </cfRule>
    <cfRule type="expression" dxfId="28" priority="17" stopIfTrue="1">
      <formula>$F6=TODAY()</formula>
    </cfRule>
    <cfRule type="expression" dxfId="27" priority="18" stopIfTrue="1">
      <formula>$E6&lt;=TODAY()</formula>
    </cfRule>
    <cfRule type="expression" dxfId="26" priority="19">
      <formula>AND($B6&lt;&gt;1,$F6&gt;TODAY())</formula>
    </cfRule>
  </conditionalFormatting>
  <conditionalFormatting sqref="C599">
    <cfRule type="expression" dxfId="25" priority="7">
      <formula>AND($N599="review", $U599="Proposed to Reject",FIND("ext",$F599))</formula>
    </cfRule>
    <cfRule type="expression" dxfId="24" priority="8">
      <formula>OR($N599="solved",$N599="rejected", $N599="duplicate")</formula>
    </cfRule>
    <cfRule type="expression" dxfId="23" priority="9">
      <formula>$N599="test"</formula>
    </cfRule>
  </conditionalFormatting>
  <conditionalFormatting sqref="C599">
    <cfRule type="expression" dxfId="22" priority="1">
      <formula>$E599="PSA"</formula>
    </cfRule>
    <cfRule type="expression" dxfId="21" priority="2">
      <formula>$E599=2</formula>
    </cfRule>
    <cfRule type="expression" dxfId="20" priority="3" stopIfTrue="1">
      <formula>$E599=1</formula>
    </cfRule>
    <cfRule type="expression" dxfId="19" priority="4">
      <formula>$R599="MRN_Peripherals"</formula>
    </cfRule>
    <cfRule type="expression" dxfId="18" priority="5">
      <formula>AND($S599="MAP", FIND("Q",$I599))</formula>
    </cfRule>
    <cfRule type="expression" dxfId="17" priority="6">
      <formula>$S599="MAP"</formula>
    </cfRule>
  </conditionalFormatting>
  <dataValidations count="3">
    <dataValidation type="list" allowBlank="1" showInputMessage="1" sqref="I12:I54 I6:I10 H6:H686">
      <formula1>Assignedto</formula1>
    </dataValidation>
    <dataValidation type="list" allowBlank="1" showInputMessage="1" showErrorMessage="1" sqref="G6:G686">
      <formula1>Priority</formula1>
    </dataValidation>
    <dataValidation allowBlank="1" showInputMessage="1" sqref="I11"/>
  </dataValidations>
  <pageMargins left="0.5" right="0.5" top="0.75" bottom="0.75" header="0.3" footer="0.3"/>
  <pageSetup scale="64" fitToHeight="0" orientation="portrait" r:id="rId1"/>
  <drawing r:id="rId2"/>
  <tableParts count="1">
    <tablePart r:id="rId3"/>
  </tableParts>
</worksheet>
</file>

<file path=xl/worksheets/sheet3.xml><?xml version="1.0" encoding="utf-8"?>
<worksheet xmlns="http://schemas.openxmlformats.org/spreadsheetml/2006/main" xmlns:r="http://schemas.openxmlformats.org/officeDocument/2006/relationships">
  <sheetPr codeName="TaskSetup">
    <tabColor theme="6" tint="0.39997558519241921"/>
    <pageSetUpPr fitToPage="1"/>
  </sheetPr>
  <dimension ref="A1:O72"/>
  <sheetViews>
    <sheetView showGridLines="0" workbookViewId="0">
      <pane ySplit="4" topLeftCell="A65" activePane="bottomLeft" state="frozen"/>
      <selection pane="bottomLeft" activeCell="C72" sqref="C72"/>
    </sheetView>
  </sheetViews>
  <sheetFormatPr defaultColWidth="0" defaultRowHeight="23.25"/>
  <cols>
    <col min="1" max="1" width="8.7265625" style="18" customWidth="1"/>
    <col min="2" max="2" width="2" customWidth="1"/>
    <col min="3" max="3" width="20.90625" customWidth="1"/>
    <col min="4" max="4" width="18.1796875" customWidth="1"/>
    <col min="5" max="9" width="8.7265625" customWidth="1"/>
    <col min="10" max="10" width="9.54296875" customWidth="1"/>
    <col min="11" max="11" width="7" hidden="1" customWidth="1"/>
    <col min="12" max="15" width="0" hidden="1" customWidth="1"/>
    <col min="16" max="16384" width="8.7265625" hidden="1"/>
  </cols>
  <sheetData>
    <row r="1" spans="1:15" s="4" customFormat="1" ht="35.25" customHeight="1">
      <c r="A1" s="16"/>
      <c r="B1" s="28" t="s">
        <v>5</v>
      </c>
      <c r="D1" s="27"/>
      <c r="E1" s="27"/>
      <c r="F1" s="27"/>
      <c r="G1" s="27"/>
      <c r="H1" s="27"/>
      <c r="I1" s="27"/>
    </row>
    <row r="2" spans="1:15" s="4" customFormat="1" ht="54.75" customHeight="1">
      <c r="A2" s="16"/>
      <c r="B2" s="65" t="s">
        <v>10</v>
      </c>
      <c r="C2" s="66"/>
      <c r="D2" s="66"/>
      <c r="E2" s="66"/>
      <c r="F2" s="66"/>
      <c r="G2" s="22"/>
      <c r="H2" s="22"/>
      <c r="I2" s="22"/>
      <c r="J2" s="63"/>
      <c r="K2" s="64"/>
      <c r="L2" s="64"/>
      <c r="M2" s="64"/>
      <c r="N2" s="64"/>
      <c r="O2" s="64"/>
    </row>
    <row r="3" spans="1:15">
      <c r="D3" s="4"/>
    </row>
    <row r="4" spans="1:15" ht="21.75" customHeight="1">
      <c r="C4" t="s">
        <v>6</v>
      </c>
      <c r="D4" t="s">
        <v>4</v>
      </c>
      <c r="E4" s="21"/>
      <c r="F4" s="21"/>
      <c r="H4" s="21"/>
    </row>
    <row r="5" spans="1:15" ht="21.75" customHeight="1">
      <c r="C5" s="11" t="s">
        <v>21</v>
      </c>
      <c r="D5" t="s">
        <v>28</v>
      </c>
      <c r="E5" s="21"/>
      <c r="F5" s="21"/>
      <c r="H5" s="21"/>
    </row>
    <row r="6" spans="1:15" ht="21.75" customHeight="1">
      <c r="C6" s="11" t="s">
        <v>470</v>
      </c>
      <c r="D6" t="s">
        <v>24</v>
      </c>
      <c r="E6" s="21"/>
      <c r="F6" s="21"/>
      <c r="H6" s="21"/>
    </row>
    <row r="7" spans="1:15" ht="21.75" customHeight="1">
      <c r="C7" s="11" t="s">
        <v>34</v>
      </c>
      <c r="D7" s="4" t="s">
        <v>25</v>
      </c>
      <c r="E7" s="21"/>
      <c r="F7" s="21"/>
      <c r="H7" s="21"/>
    </row>
    <row r="8" spans="1:15" ht="21.75" customHeight="1">
      <c r="C8" s="11" t="s">
        <v>67</v>
      </c>
      <c r="D8" s="4" t="s">
        <v>26</v>
      </c>
      <c r="E8" s="21"/>
      <c r="F8" s="21"/>
      <c r="H8" s="21"/>
    </row>
    <row r="9" spans="1:15" ht="21.75" customHeight="1">
      <c r="C9" s="11" t="s">
        <v>89</v>
      </c>
      <c r="E9" s="21"/>
      <c r="F9" s="21"/>
      <c r="G9" s="21"/>
      <c r="H9" s="21"/>
    </row>
    <row r="10" spans="1:15" ht="21" customHeight="1">
      <c r="C10" s="11" t="s">
        <v>40</v>
      </c>
    </row>
    <row r="11" spans="1:15" ht="21" customHeight="1">
      <c r="C11" s="11" t="s">
        <v>491</v>
      </c>
    </row>
    <row r="12" spans="1:15" ht="21" customHeight="1">
      <c r="C12" s="11" t="s">
        <v>80</v>
      </c>
    </row>
    <row r="13" spans="1:15" ht="21" customHeight="1">
      <c r="C13" s="11" t="s">
        <v>327</v>
      </c>
    </row>
    <row r="14" spans="1:15" ht="21" customHeight="1">
      <c r="C14" s="11" t="s">
        <v>45</v>
      </c>
    </row>
    <row r="15" spans="1:15" ht="21" customHeight="1">
      <c r="C15" s="11" t="s">
        <v>459</v>
      </c>
    </row>
    <row r="16" spans="1:15" ht="21" customHeight="1">
      <c r="C16" s="11" t="s">
        <v>37</v>
      </c>
    </row>
    <row r="17" spans="3:3" ht="21" customHeight="1">
      <c r="C17" s="11" t="s">
        <v>49</v>
      </c>
    </row>
    <row r="18" spans="3:3" ht="21" customHeight="1">
      <c r="C18" s="11" t="s">
        <v>51</v>
      </c>
    </row>
    <row r="19" spans="3:3" ht="21" customHeight="1">
      <c r="C19" s="11" t="s">
        <v>209</v>
      </c>
    </row>
    <row r="20" spans="3:3" ht="21" customHeight="1">
      <c r="C20" s="11" t="s">
        <v>88</v>
      </c>
    </row>
    <row r="21" spans="3:3" ht="21" customHeight="1">
      <c r="C21" s="11" t="s">
        <v>39</v>
      </c>
    </row>
    <row r="22" spans="3:3" ht="21" customHeight="1">
      <c r="C22" s="11" t="s">
        <v>437</v>
      </c>
    </row>
    <row r="23" spans="3:3" ht="21" customHeight="1">
      <c r="C23" s="11" t="s">
        <v>16</v>
      </c>
    </row>
    <row r="24" spans="3:3" ht="21" customHeight="1">
      <c r="C24" s="11" t="s">
        <v>33</v>
      </c>
    </row>
    <row r="25" spans="3:3" ht="21" customHeight="1">
      <c r="C25" s="11" t="s">
        <v>161</v>
      </c>
    </row>
    <row r="26" spans="3:3" ht="21" customHeight="1">
      <c r="C26" s="11" t="s">
        <v>130</v>
      </c>
    </row>
    <row r="27" spans="3:3" ht="21" customHeight="1">
      <c r="C27" s="11" t="s">
        <v>160</v>
      </c>
    </row>
    <row r="28" spans="3:3" ht="21" customHeight="1">
      <c r="C28" s="11" t="s">
        <v>69</v>
      </c>
    </row>
    <row r="29" spans="3:3">
      <c r="C29" s="11" t="s">
        <v>69</v>
      </c>
    </row>
    <row r="30" spans="3:3">
      <c r="C30" s="11" t="s">
        <v>458</v>
      </c>
    </row>
    <row r="31" spans="3:3">
      <c r="C31" s="11" t="s">
        <v>35</v>
      </c>
    </row>
    <row r="32" spans="3:3">
      <c r="C32" s="11" t="s">
        <v>18</v>
      </c>
    </row>
    <row r="33" spans="3:3">
      <c r="C33" s="11" t="s">
        <v>15</v>
      </c>
    </row>
    <row r="34" spans="3:3">
      <c r="C34" s="11" t="s">
        <v>189</v>
      </c>
    </row>
    <row r="35" spans="3:3">
      <c r="C35" s="11" t="s">
        <v>224</v>
      </c>
    </row>
    <row r="36" spans="3:3">
      <c r="C36" s="11" t="s">
        <v>159</v>
      </c>
    </row>
    <row r="37" spans="3:3">
      <c r="C37" s="11" t="s">
        <v>63</v>
      </c>
    </row>
    <row r="38" spans="3:3">
      <c r="C38" s="11" t="s">
        <v>122</v>
      </c>
    </row>
    <row r="39" spans="3:3">
      <c r="C39" s="11" t="s">
        <v>85</v>
      </c>
    </row>
    <row r="40" spans="3:3">
      <c r="C40" s="11" t="s">
        <v>201</v>
      </c>
    </row>
    <row r="41" spans="3:3">
      <c r="C41" s="11" t="s">
        <v>169</v>
      </c>
    </row>
    <row r="42" spans="3:3">
      <c r="C42" s="11" t="s">
        <v>146</v>
      </c>
    </row>
    <row r="43" spans="3:3">
      <c r="C43" s="11" t="s">
        <v>110</v>
      </c>
    </row>
    <row r="44" spans="3:3">
      <c r="C44" s="11" t="s">
        <v>57</v>
      </c>
    </row>
    <row r="45" spans="3:3">
      <c r="C45" s="11" t="s">
        <v>55</v>
      </c>
    </row>
    <row r="46" spans="3:3">
      <c r="C46" s="11" t="s">
        <v>235</v>
      </c>
    </row>
    <row r="47" spans="3:3">
      <c r="C47" s="11" t="s">
        <v>250</v>
      </c>
    </row>
    <row r="48" spans="3:3">
      <c r="C48" s="11" t="s">
        <v>356</v>
      </c>
    </row>
    <row r="49" spans="3:3">
      <c r="C49" s="11" t="s">
        <v>261</v>
      </c>
    </row>
    <row r="50" spans="3:3">
      <c r="C50" s="11" t="s">
        <v>248</v>
      </c>
    </row>
    <row r="51" spans="3:3">
      <c r="C51" s="11" t="s">
        <v>171</v>
      </c>
    </row>
    <row r="52" spans="3:3">
      <c r="C52" s="11" t="s">
        <v>54</v>
      </c>
    </row>
    <row r="53" spans="3:3">
      <c r="C53" s="11" t="s">
        <v>58</v>
      </c>
    </row>
    <row r="54" spans="3:3">
      <c r="C54" s="11" t="s">
        <v>14</v>
      </c>
    </row>
    <row r="55" spans="3:3">
      <c r="C55" s="11" t="s">
        <v>19</v>
      </c>
    </row>
    <row r="56" spans="3:3">
      <c r="C56" s="11" t="s">
        <v>13</v>
      </c>
    </row>
    <row r="57" spans="3:3">
      <c r="C57" s="11" t="s">
        <v>71</v>
      </c>
    </row>
    <row r="58" spans="3:3">
      <c r="C58" s="11" t="s">
        <v>64</v>
      </c>
    </row>
    <row r="59" spans="3:3">
      <c r="C59" s="11" t="s">
        <v>182</v>
      </c>
    </row>
    <row r="60" spans="3:3">
      <c r="C60" s="11" t="s">
        <v>185</v>
      </c>
    </row>
    <row r="61" spans="3:3">
      <c r="C61" s="11" t="s">
        <v>102</v>
      </c>
    </row>
    <row r="62" spans="3:3">
      <c r="C62" s="11" t="s">
        <v>17</v>
      </c>
    </row>
    <row r="63" spans="3:3">
      <c r="C63" s="11" t="s">
        <v>245</v>
      </c>
    </row>
    <row r="64" spans="3:3">
      <c r="C64" s="11" t="s">
        <v>494</v>
      </c>
    </row>
    <row r="65" spans="3:3">
      <c r="C65" s="11" t="s">
        <v>511</v>
      </c>
    </row>
    <row r="66" spans="3:3">
      <c r="C66" s="11" t="s">
        <v>568</v>
      </c>
    </row>
    <row r="67" spans="3:3">
      <c r="C67" s="11" t="s">
        <v>629</v>
      </c>
    </row>
    <row r="68" spans="3:3">
      <c r="C68" s="11" t="s">
        <v>670</v>
      </c>
    </row>
    <row r="69" spans="3:3">
      <c r="C69" s="11" t="s">
        <v>681</v>
      </c>
    </row>
    <row r="70" spans="3:3">
      <c r="C70" s="11" t="s">
        <v>685</v>
      </c>
    </row>
    <row r="71" spans="3:3">
      <c r="C71" s="11" t="s">
        <v>713</v>
      </c>
    </row>
    <row r="72" spans="3:3">
      <c r="C72" s="11" t="s">
        <v>718</v>
      </c>
    </row>
  </sheetData>
  <mergeCells count="2">
    <mergeCell ref="J2:O2"/>
    <mergeCell ref="B2:F2"/>
  </mergeCells>
  <printOptions horizontalCentered="1"/>
  <pageMargins left="0.5" right="0.5" top="0.75" bottom="0.75" header="0.3" footer="0.3"/>
  <pageSetup scale="65" fitToHeight="0" orientation="portrait" r:id="rId1"/>
  <drawing r:id="rId2"/>
  <picture r:id="rId3"/>
  <tableParts count="2">
    <tablePart r:id="rId4"/>
    <tablePart r:id="rId5"/>
  </tableParts>
</worksheet>
</file>

<file path=xl/worksheets/sheet4.xml><?xml version="1.0" encoding="utf-8"?>
<worksheet xmlns="http://schemas.openxmlformats.org/spreadsheetml/2006/main" xmlns:r="http://schemas.openxmlformats.org/officeDocument/2006/relationships">
  <sheetPr codeName="Sheet3"/>
  <dimension ref="C2:D6"/>
  <sheetViews>
    <sheetView workbookViewId="0">
      <selection activeCell="D3" sqref="D3:D6"/>
    </sheetView>
  </sheetViews>
  <sheetFormatPr defaultRowHeight="23.25"/>
  <cols>
    <col min="4" max="4" width="43.26953125" customWidth="1"/>
    <col min="5" max="5" width="15.54296875" customWidth="1"/>
  </cols>
  <sheetData>
    <row r="2" spans="3:4">
      <c r="C2">
        <v>1</v>
      </c>
      <c r="D2" t="s">
        <v>664</v>
      </c>
    </row>
    <row r="3" spans="3:4">
      <c r="C3">
        <v>2</v>
      </c>
      <c r="D3" t="s">
        <v>665</v>
      </c>
    </row>
    <row r="4" spans="3:4">
      <c r="C4">
        <v>3</v>
      </c>
      <c r="D4" t="s">
        <v>666</v>
      </c>
    </row>
    <row r="5" spans="3:4">
      <c r="C5">
        <v>4</v>
      </c>
      <c r="D5" t="s">
        <v>667</v>
      </c>
    </row>
    <row r="6" spans="3:4">
      <c r="C6">
        <v>5</v>
      </c>
      <c r="D6" t="s">
        <v>668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mso-contentType ?>
<FormTemplates xmlns="http://schemas.microsoft.com/sharepoint/v3/contenttype/forms">
  <Display>DocumentLibraryForm</Display>
  <Edit>AssetEditForm</Edit>
  <New>DocumentLibraryForm</New>
</FormTemplates>
</file>

<file path=customXml/itemProps1.xml><?xml version="1.0" encoding="utf-8"?>
<ds:datastoreItem xmlns:ds="http://schemas.openxmlformats.org/officeDocument/2006/customXml" ds:itemID="{41856473-CCE6-473F-91AD-70568D3A121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vt:i4>
      </vt:variant>
      <vt:variant>
        <vt:lpstr>Named Ranges</vt:lpstr>
      </vt:variant>
      <vt:variant>
        <vt:i4>12</vt:i4>
      </vt:variant>
    </vt:vector>
  </HeadingPairs>
  <TitlesOfParts>
    <vt:vector size="16" baseType="lpstr">
      <vt:lpstr>Sheet1</vt:lpstr>
      <vt:lpstr>To Do List</vt:lpstr>
      <vt:lpstr>Assignment Setup</vt:lpstr>
      <vt:lpstr>Follow Up action</vt:lpstr>
      <vt:lpstr>Assignedto</vt:lpstr>
      <vt:lpstr>Color1</vt:lpstr>
      <vt:lpstr>Color2</vt:lpstr>
      <vt:lpstr>Color3</vt:lpstr>
      <vt:lpstr>Color4</vt:lpstr>
      <vt:lpstr>Color5</vt:lpstr>
      <vt:lpstr>Color6</vt:lpstr>
      <vt:lpstr>ColorKey</vt:lpstr>
      <vt:lpstr>DueToday</vt:lpstr>
      <vt:lpstr>'To Do List'!Grid</vt:lpstr>
      <vt:lpstr>'To Do List'!Print_Titles</vt:lpstr>
      <vt:lpstr>Priority</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ZengJ</cp:lastModifiedBy>
  <dcterms:created xsi:type="dcterms:W3CDTF">2014-03-20T08:25:40Z</dcterms:created>
  <dcterms:modified xsi:type="dcterms:W3CDTF">2015-09-28T06:27:19Z</dcterms:modified>
  <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TemplateID">
    <vt:lpwstr>TC031076709991</vt:lpwstr>
  </property>
</Properties>
</file>